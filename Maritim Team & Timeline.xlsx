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Rafie\Documents\kodein\agency\maritim-app\"/>
    </mc:Choice>
  </mc:AlternateContent>
  <xr:revisionPtr revIDLastSave="0" documentId="13_ncr:1_{F0595ACE-7C02-4030-B4B7-527F1EC8DFD1}" xr6:coauthVersionLast="47" xr6:coauthVersionMax="47" xr10:uidLastSave="{00000000-0000-0000-0000-000000000000}"/>
  <bookViews>
    <workbookView xWindow="-110" yWindow="-110" windowWidth="19420" windowHeight="11020" activeTab="1" xr2:uid="{00000000-000D-0000-FFFF-FFFF00000000}"/>
  </bookViews>
  <sheets>
    <sheet name="Executive Summary" sheetId="1" r:id="rId1"/>
    <sheet name="Breaf &amp; Team" sheetId="2" r:id="rId2"/>
    <sheet name="Project Timeline" sheetId="3" r:id="rId3"/>
    <sheet name="Deliverable &amp; Scope Log"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29" i="3" l="1"/>
  <c r="AF29" i="3"/>
  <c r="AE29" i="3"/>
  <c r="AD29" i="3"/>
  <c r="AC29" i="3"/>
  <c r="AB29" i="3"/>
  <c r="AA29" i="3"/>
  <c r="Z29" i="3"/>
  <c r="Y29" i="3"/>
  <c r="X29" i="3"/>
  <c r="W29" i="3"/>
  <c r="V29" i="3"/>
  <c r="U29" i="3"/>
  <c r="T29" i="3"/>
  <c r="S29" i="3"/>
  <c r="R29" i="3"/>
  <c r="Q29" i="3"/>
  <c r="P29" i="3"/>
  <c r="O29" i="3"/>
  <c r="N29" i="3"/>
  <c r="M29" i="3"/>
  <c r="J29" i="3"/>
  <c r="I29" i="3"/>
  <c r="B18" i="1"/>
  <c r="B17" i="1"/>
  <c r="B16" i="1"/>
  <c r="B15" i="1"/>
  <c r="B14" i="1"/>
  <c r="B13" i="1"/>
</calcChain>
</file>

<file path=xl/sharedStrings.xml><?xml version="1.0" encoding="utf-8"?>
<sst xmlns="http://schemas.openxmlformats.org/spreadsheetml/2006/main" count="439" uniqueCount="335">
  <si>
    <t>PROJECT TIMELINE &amp; ROADMAP:Sekolah Maritim Indonesia (Web Apps)</t>
  </si>
  <si>
    <t>Team Structure</t>
  </si>
  <si>
    <t>PM</t>
  </si>
  <si>
    <t>MLY-E01</t>
  </si>
  <si>
    <t>Kak Irwan</t>
  </si>
  <si>
    <t>Front-End</t>
  </si>
  <si>
    <t>Rafi</t>
  </si>
  <si>
    <t>Rencana Kerja Sistematis Berdasarkan Scope Confirmation ( PPA/MLY-SC/VIII/2026) dan Proposal Project Awal (PPA/MLY-EL/VIII/2026)</t>
  </si>
  <si>
    <t>UIX Design</t>
  </si>
  <si>
    <t>Backend</t>
  </si>
  <si>
    <t>Khenzo</t>
  </si>
  <si>
    <t>QA</t>
  </si>
  <si>
    <t>Support</t>
  </si>
  <si>
    <t>INFORMASI PROYEK</t>
  </si>
  <si>
    <t xml:space="preserve">Brief Project: </t>
  </si>
  <si>
    <t>1. Latar Belakang &amp; Tujuan Proyek Proyek Web E-Learning Pelayaran merupakan inisiatif pengembangan platform pembelajaran digital maritim kustom (proprietary system) 
untuk klien Pak Mulya (Pak Mulyana) yang dikerjakan oleh PT Kodeintekno Cipta Solusi. 
Proyek ini bertujuan untuk membangun ekosistem pendidikan awal kadet taruna kelautan yang lebih interaktif dibandingkan platform serupa di pasaran, 
dengan mengintegrasikan standar kurikulum maritim internasional (acuan STCW / Maritime Trainer) dan interaksi langsung (real-time) antara mentor aktif dan taruna. 
Kepemilikan sistem secara penuh memberikan efisiensi biaya jangka panjang bagi klien tanpa beban biaya lisensi berulang per pengguna.</t>
  </si>
  <si>
    <t>2. Ruang Lingkup Kerja &amp; Spesifikasi Teknis Terkonfirmasi Berdasarkan penyelarasan ruang lingkup terbaru pada dokumen Scope Confirmation (No. PPA/MLY-SC/VIII/2026), 
platform dibangun sebagai aplikasi web responsif (Responsive Web App) dengan pola komunikasi front-end dan back-end berbasis REST API. 
Fitur utama pada pengembangan tahap awal (Initial Version) mencakup modul pembelajaran berbasis klasifikasi jenis kapal (Bulk Carrier, Tanker, Container Ship, Passenger, dll.), 
fitur Mentor Live Lesson, sistem pengujian berjenjang Assessment 5 Level beserta rating system, serta Dashboard Management untuk Admin, Mentor, dan Taruna. Selain itu, 
ruang lingkup kerja telah diperkuat dengan penambahan tiga fitur baru yaitu Sistem Pengaduan/Ticketing Pengguna, Modul Video Pembelajaran Terintegrasi 
(melalui mitra hosting pihak ketiga), serta keamanan Autentikasi Dua Faktor (2FA) khusus untuk akun mentor dan taruna. 
Penyediaan materi kurikulum dan soal ujian menjadi tanggung jawab pihak Klien, sedangkan pengembangan aplikasi mobile native (Android/iOS) berada di luar ruang lingkup fase ini.</t>
  </si>
  <si>
    <t>Nama Aplikasi</t>
  </si>
  <si>
    <t>3. Layanan Purnajual, Keamanan &amp; Tata Kelola Legal (MOU) Kodeintekno menjamin keamanan sistem aplikasi serta basis data, melaksanakan backup data rutin minimal 1 (satu) 
kali setiap bulan yang terdokumentasi dalam SOP yang dapat diaudit klien, serta memberikan masa pemeliharaan (Maintenance untuk bug fixing dan revisi minor) yang diperpanjang menjadi 1 (satu) tahun pasca Go-Live. 
Sebelum pengerjaan teknis dimulai, seluruh kesepakatan ini akan diikat melalui MOU / Kontrak Kerja Resmi yang mengatur secara tegas klausul kepemilikan (ownership), 
Hak Kekayaan Intelektual (IP), hak cipta, kepemilikan source code, domain, merek/brand aplikasi, ketentuan force majeure, rincian mitra pihak ketiga penyedia server/hosting video, serta otoritas perubahan kontrak.</t>
  </si>
  <si>
    <t>Web Apps - Sekolah Pelayaran Indonesia</t>
  </si>
  <si>
    <t>Tanggal Mulai Proyek</t>
  </si>
  <si>
    <t>Target Utama #1 ()</t>
  </si>
  <si>
    <t>PROJECT TIMELINE, WORK BREAKDOWN STRUCTURE (WBS) &amp; GANTT CHART (21 MINGGU)</t>
  </si>
  <si>
    <t>Target Selesai Seluruhnya</t>
  </si>
  <si>
    <t>DAFTAR DELIVERABLE TERKONFIRMASI, LOG PERUBAHAN SCOPE &amp; TINDAK LANJUT MOU</t>
  </si>
  <si>
    <t>Lokasi Pilot / Fokus Khusus</t>
  </si>
  <si>
    <t>Pembelajaran Siswa Maritim</t>
  </si>
  <si>
    <t>Stakeholder Utama</t>
  </si>
  <si>
    <t>Pak Mulya</t>
  </si>
  <si>
    <t>KEY PROJECT METRICS</t>
  </si>
  <si>
    <t>Total Task Selesai</t>
  </si>
  <si>
    <t>Digunakan oleh PMO, Tim QA, dan Klien (Pak Mulya) untuk memverifikasi serah terima setiap modul serta memantau kelengkapan klausul MOU.</t>
  </si>
  <si>
    <t>Petunjuk Tim: Isi kolom 'PIC / Nama', 'Tanggal Mulai/Selesai', 'Status', dan '% Progres'. Kolom Gantt (M1–M21) bertanda '1' menunjukkan jadwal rencana; ubah atau tandai sesuai realisasi lapangan.</t>
  </si>
  <si>
    <t>A. CHECKLIST DELIVERABLE UTAMA (ACUAN VERIFIKASI KLIEN &amp; PMO)</t>
  </si>
  <si>
    <t>Kode</t>
  </si>
  <si>
    <t>DETAIL AKTIVITAS &amp; PENUGASAN TIM (DIISI OLEH PROJECT OFFICER &amp; TIM PELAKSANA)</t>
  </si>
  <si>
    <t>Kategori Deliverable</t>
  </si>
  <si>
    <t>Deskripsi &amp; Spesifikasi Terkonfirmasi</t>
  </si>
  <si>
    <t>Total Task Dalam Proses</t>
  </si>
  <si>
    <t>Target Fase</t>
  </si>
  <si>
    <t>PIC Reviewer</t>
  </si>
  <si>
    <t>Status Verifikasi</t>
  </si>
  <si>
    <t>Tanggal Disetujui</t>
  </si>
  <si>
    <t>FASE 1 (M1-M4)</t>
  </si>
  <si>
    <t>Catatan / Link Bukti Serah Terima</t>
  </si>
  <si>
    <t>DLV-01</t>
  </si>
  <si>
    <t>Total Task Belum Mulai</t>
  </si>
  <si>
    <t>FASE 2 (M5-M11)</t>
  </si>
  <si>
    <t>FASE 3 (M12-M16)</t>
  </si>
  <si>
    <t>Fitur Aplikasi - Klasifikasi Kapal</t>
  </si>
  <si>
    <t>Total Task Terkendala (Blocked)</t>
  </si>
  <si>
    <t>FASE 4 (M17-M19)</t>
  </si>
  <si>
    <t>Modul pembelajaran berbasis klasifikasi jenis kapal (Bulk Carrier, Tanker, Container Ship, Passenger, dll) untuk pendidikan awal kadet taruna.</t>
  </si>
  <si>
    <t>Fase 2</t>
  </si>
  <si>
    <t>FASE 5 (M20-M21)</t>
  </si>
  <si>
    <t>Pak Mulya &amp; PMO</t>
  </si>
  <si>
    <t>Total Keseluruhan Tugas</t>
  </si>
  <si>
    <t>Kode WBS</t>
  </si>
  <si>
    <t>Fase Proyek</t>
  </si>
  <si>
    <t>Tahapan Pekerjaan &amp; Detail Aktivitas</t>
  </si>
  <si>
    <t>Deliverable / Output Utama</t>
  </si>
  <si>
    <t>Role / Tim</t>
  </si>
  <si>
    <t>Nama PIC (Diisi Tim)</t>
  </si>
  <si>
    <t>Minggu Mulai</t>
  </si>
  <si>
    <t>Minggu Selesai</t>
  </si>
  <si>
    <t>Status</t>
  </si>
  <si>
    <t>% Progres</t>
  </si>
  <si>
    <t>Pending</t>
  </si>
  <si>
    <t>Persentase Progres Keseluruhan</t>
  </si>
  <si>
    <t>Tanggal Selesai Aktual</t>
  </si>
  <si>
    <t>Catatan / Blocker / Link Dokumen</t>
  </si>
  <si>
    <t>M1</t>
  </si>
  <si>
    <t>M2</t>
  </si>
  <si>
    <t>M3</t>
  </si>
  <si>
    <t>M4</t>
  </si>
  <si>
    <t>M5</t>
  </si>
  <si>
    <t>DLV-02</t>
  </si>
  <si>
    <t>M6</t>
  </si>
  <si>
    <t>M7</t>
  </si>
  <si>
    <t>M8</t>
  </si>
  <si>
    <t>M9</t>
  </si>
  <si>
    <t>M10</t>
  </si>
  <si>
    <t>M11</t>
  </si>
  <si>
    <t>Fitur Aplikasi - Live Lesson</t>
  </si>
  <si>
    <t>M12</t>
  </si>
  <si>
    <t>M13</t>
  </si>
  <si>
    <t>M14</t>
  </si>
  <si>
    <t>M15</t>
  </si>
  <si>
    <t>Modul Mentor Live Lesson (interaksi real-time / live stream antara mentor aktif dan taruna).</t>
  </si>
  <si>
    <t>M16</t>
  </si>
  <si>
    <t>M17</t>
  </si>
  <si>
    <t>M18</t>
  </si>
  <si>
    <t>M19</t>
  </si>
  <si>
    <t>M20</t>
  </si>
  <si>
    <t>M21</t>
  </si>
  <si>
    <t>RINGKASAN FASE &amp; MILESTONE UTAMA</t>
  </si>
  <si>
    <t>0.1</t>
  </si>
  <si>
    <t>Pra-Proyek &amp; Inisiasi</t>
  </si>
  <si>
    <t>Fase / Module</t>
  </si>
  <si>
    <t>DLV-03</t>
  </si>
  <si>
    <t>Fitur Aplikasi - Assessment &amp; Dashboard</t>
  </si>
  <si>
    <t>Finalisasi &amp; Penandatanganan MOU / Kontrak Kerja Resmi (Klausul IP, Source Code, Security, Hosting)</t>
  </si>
  <si>
    <t>Assessment 5 Level Learning, Maritime Standard Assessment (STCW), Rating System, Sertifikat Digital, &amp; Dashboard (Admin/Mentor/Taruna).</t>
  </si>
  <si>
    <t>Dokumen MOU Final Ditandatangani</t>
  </si>
  <si>
    <t>Fokus Utama</t>
  </si>
  <si>
    <t>Fase 3</t>
  </si>
  <si>
    <t>Target Mulai</t>
  </si>
  <si>
    <t>PMO / Legal</t>
  </si>
  <si>
    <t>Target Selesai</t>
  </si>
  <si>
    <t>Status Target</t>
  </si>
  <si>
    <t>Checklist Point Cover</t>
  </si>
  <si>
    <t>Kak Yudi</t>
  </si>
  <si>
    <t>Phase 1 (Prototype &amp; DP)</t>
  </si>
  <si>
    <t>DLV-04</t>
  </si>
  <si>
    <t>Fitur Aplikasi - Video Pembelajaran</t>
  </si>
  <si>
    <t>Modul video pembelajaran terintegrasi dengan dukungan hosting video pihak ketiga.</t>
  </si>
  <si>
    <t>Prototype Design Awal, &amp; kick-off proyek</t>
  </si>
  <si>
    <t>Fase 3 &amp; 4</t>
  </si>
  <si>
    <t>DLV-05</t>
  </si>
  <si>
    <t>Fitur Aplikasi - Sistem Ticketing</t>
  </si>
  <si>
    <t>Sistem pengaduan / ticketing pengguna aplikasi untuk pelaporan kendala teknis/materi.</t>
  </si>
  <si>
    <t>Fase 4</t>
  </si>
  <si>
    <t>DLV-06</t>
  </si>
  <si>
    <t>Fitur Aplikasi - Keamanan 2FA &amp; API</t>
  </si>
  <si>
    <t>In Progress</t>
  </si>
  <si>
    <t>Autentikasi Dua Faktor (2FA) untuk akun mentor &amp; taruna, serta implementasi komunikasi Front-End &amp; Back-End berbasis REST API.</t>
  </si>
  <si>
    <t>System Architect</t>
  </si>
  <si>
    <t>Phase 2 (UIX &amp; Technical Spec)</t>
  </si>
  <si>
    <t>DLV-07</t>
  </si>
  <si>
    <t>Dokumentasi Teknis</t>
  </si>
  <si>
    <t>Dokumen spesifikasi teknis sistem, mencakup arsitektur REST API dan skema keamanan aplikasi.</t>
  </si>
  <si>
    <t>Fase 1 &amp; 2</t>
  </si>
  <si>
    <t>Menunggu review final klausul legal &amp; security</t>
  </si>
  <si>
    <t>Prototype Desain UI/UX &amp; Dokumen Spesifikasi Teknis</t>
  </si>
  <si>
    <t>DLV-08</t>
  </si>
  <si>
    <t>Layanan Purnajual (Maintenance)</t>
  </si>
  <si>
    <t>Layanan maintenance (bug fixing &amp; minor revisi) selama 1 (satu) tahun pasca Go-Live dalam jadwal dukungan resmi.</t>
  </si>
  <si>
    <t>Pasca Go-Live</t>
  </si>
  <si>
    <t>PMO Kodeintekno</t>
  </si>
  <si>
    <t>DLV-09</t>
  </si>
  <si>
    <t>Manajemen Data (SOP Backup)</t>
  </si>
  <si>
    <t>Phase 3 (Login &amp; Leasson)</t>
  </si>
  <si>
    <t>Prosedur dan jadwal backup data bulanan (minimal 1x/bulan) oleh Kodeintekno, terdokumentasi sebagai SOP yang dapat diaudit Klien.</t>
  </si>
  <si>
    <t>Sistem Login/Role &amp; Fitur Live Lesson per Jenis Kapal</t>
  </si>
  <si>
    <t>Fase 5</t>
  </si>
  <si>
    <t>DevOps Engineer</t>
  </si>
  <si>
    <t>Phase 4 (Dashboard &amp; Assesement)</t>
  </si>
  <si>
    <t>Modul Assessment 5 Level, Rating System, &amp; Dashboard Mentor</t>
  </si>
  <si>
    <t>DLV-10</t>
  </si>
  <si>
    <t>Phase 5 (Go-Live)</t>
  </si>
  <si>
    <t>Keamanan Sistem &amp; Kerja Sama 3rd Party</t>
  </si>
  <si>
    <t>Platform Go-Live, training pengguna, dan penyerahan akun</t>
  </si>
  <si>
    <t>Laporan/ketentuan jaminan keamanan aplikasi &amp; database dalam lampiran MOU, serta daftar informasi mitra penyedia server &amp; hosting video.</t>
  </si>
  <si>
    <t>Pra-Proyek / MOU</t>
  </si>
  <si>
    <t>PMO &amp; Legal</t>
  </si>
  <si>
    <t>0.2</t>
  </si>
  <si>
    <t>PANDUAN WARNA &amp; SIMBOL PETUNJUK</t>
  </si>
  <si>
    <t>In Review</t>
  </si>
  <si>
    <t>Pencairan Pembayaran Milestone 1 (Uang Muka / DP)</t>
  </si>
  <si>
    <t>DLV-11</t>
  </si>
  <si>
    <t>Dokumen Legal (MOU / Kontrak Kerja)</t>
  </si>
  <si>
    <t>Sel Biru Muda (#DCE6F1)</t>
  </si>
  <si>
    <t>Draf &amp; dokumen final MOU yang memuat klausul ownership, IP, hak cipta, domain, source code, brand, force majeure, dan otoritas perubahan.</t>
  </si>
  <si>
    <t>Pra-Proyek</t>
  </si>
  <si>
    <t>Pak Mulya &amp; Legal</t>
  </si>
  <si>
    <t>Bukti Bayar DP &amp; Invoice Lunas</t>
  </si>
  <si>
    <t>Area Input Manual (Tanggal, PIC, Status, Persentase)</t>
  </si>
  <si>
    <t>Klien / Finance</t>
  </si>
  <si>
    <t>DLV-12</t>
  </si>
  <si>
    <t>Serah Terima Akhir (Handover)</t>
  </si>
  <si>
    <t>Not Started</t>
  </si>
  <si>
    <t>Sel Hijau Muda (#E2EFDA)</t>
  </si>
  <si>
    <t>Platform Go-Live, pelatihan penggunaan untuk Admin/Mentor/Taruna, serta penyerahan akun dan akses penuh kepada Klien.</t>
  </si>
  <si>
    <t>Area Kalkulasi Otomatis (Durasi, Total Task, % Progress)</t>
  </si>
  <si>
    <t>Sel Kuning Muda (#FFF2CC)</t>
  </si>
  <si>
    <t>Highlight Target Kritis (PG Beres Jumat Ini) / Task In Progress</t>
  </si>
  <si>
    <t>Dibayarkan saat/segera setelah MOU</t>
  </si>
  <si>
    <t>Status Complete</t>
  </si>
  <si>
    <t>Tugas selesai fully tested</t>
  </si>
  <si>
    <t>Status Blocked</t>
  </si>
  <si>
    <t>Tugas terkendala issue teknis/dependency</t>
  </si>
  <si>
    <t>B. LOG PENYESUAIAN RUANG LINGKUP (PROPOSAL AWAL 13/20 AGUSTUS vs SCOPE CONFIRMATION 27 AGUSTUS 2026)</t>
  </si>
  <si>
    <t>No</t>
  </si>
  <si>
    <t>0.3</t>
  </si>
  <si>
    <t>Kick-off Meeting Resmi (PMO Kodeintekno, Tim Resoude Lab, &amp; Pak Mulya)</t>
  </si>
  <si>
    <t>Berita Acara Kick-Off &amp; Jalur Komunikasi</t>
  </si>
  <si>
    <t>PMO / All Team</t>
  </si>
  <si>
    <t>Aspek Proyek</t>
  </si>
  <si>
    <t>Kak Adi &amp; Yudi</t>
  </si>
  <si>
    <t>Proposal Proyek Awal (PPA/MLY-EL/VIII/2026)</t>
  </si>
  <si>
    <t>Scope Terkonfirmasi (PPA/MLY-SC/VIII/2026)</t>
  </si>
  <si>
    <t>Dampak / Konsekuensi PMO</t>
  </si>
  <si>
    <t>Tindak Lanjut Tim</t>
  </si>
  <si>
    <t>Penyelarasan jadwal Fase 1</t>
  </si>
  <si>
    <t>PIC Terkait</t>
  </si>
  <si>
    <t>Fitur &amp; Arsitektur</t>
  </si>
  <si>
    <t>Mentor Live Lesson, Pendidikan Kadet, Assessment 5 Level, Maritime Standard, Dashboard.</t>
  </si>
  <si>
    <t>Ditambah: Sistem Ticketing, Video Pembelajaran, 2FA (Mentor &amp; Taruna), penegasan arsitektur REST API.</t>
  </si>
  <si>
    <t>Penambahan WBS Fase 2, 3, dan 4.</t>
  </si>
  <si>
    <t>Masukkan ke Spesifikasi Teknis Fase 1</t>
  </si>
  <si>
    <t>Confirmed</t>
  </si>
  <si>
    <t>1.1</t>
  </si>
  <si>
    <t>Durasi Pengerjaan</t>
  </si>
  <si>
    <t>Fase 1: UI/UX &amp; Spesifikasi</t>
  </si>
  <si>
    <t>18 Minggu (± 4 Bulan) dalam 4 Fase.</t>
  </si>
  <si>
    <t>Requirements Gathering &amp; Diskusi Spesifikasi Kurikulum / Modul Kadet Taruna</t>
  </si>
  <si>
    <t>Diperpanjang menjadi ± 20–21 Minggu (± 5 Bulan) dalam 5 Fase.</t>
  </si>
  <si>
    <t>Dokumen Kebutuhan Fungsional &amp; Kurikulum</t>
  </si>
  <si>
    <t>Jadwal lebih longgar untuk menjaga kualitas &amp; UAT.</t>
  </si>
  <si>
    <t>PMO &amp; Klien</t>
  </si>
  <si>
    <t>Update Baseline Gantt Chart 21 Minggu</t>
  </si>
  <si>
    <t>[Isi Nama PIC]</t>
  </si>
  <si>
    <t>PMO</t>
  </si>
  <si>
    <t>Skema Pembayaran</t>
  </si>
  <si>
    <t>Termin sederhana (Total pengembangan Rp 15.000.000).</t>
  </si>
  <si>
    <t>Berbasis Milestone 5 Tahap (DP 30%, Desain 20%, Core 25%, Lanjutan 15%, Handover 10%).</t>
  </si>
  <si>
    <t>Penagihan mengikuti BAST tiap akhir fase.</t>
  </si>
  <si>
    <t>Materi kurikulum disiapkan oleh Klien</t>
  </si>
  <si>
    <t>Siapkan form verifikasi milestone</t>
  </si>
  <si>
    <t>Finance &amp; PMO</t>
  </si>
  <si>
    <t>Biaya Infrastruktur</t>
  </si>
  <si>
    <t>Rp 3.000.000/tahun (belum dirinci per komponen).</t>
  </si>
  <si>
    <t>Dirinci 5 komponen + 3 Opsi Paket: Ekonomis (1,5 Jt), Standar (3 Jt), Premium (5 Jt).</t>
  </si>
  <si>
    <t>Klien memilih opsi paket sesuai skala taruna.</t>
  </si>
  <si>
    <t>Konfirmasi pilihan paket sebelum Fase 4</t>
  </si>
  <si>
    <t>DevOps &amp; Klien</t>
  </si>
  <si>
    <t>Garansi Maintenance</t>
  </si>
  <si>
    <t>Free Support 6 bulan pasca Go-Live.</t>
  </si>
  <si>
    <t>Diperpanjang menjadi 1 (satu) tahun pasca Go-Live (bug fix &amp; minor revisi).</t>
  </si>
  <si>
    <t>Jadwal dukungan resmi 12 bulan pasca Go-Live.</t>
  </si>
  <si>
    <t>Cantumkan SLA dukungan di MOU</t>
  </si>
  <si>
    <t>PMO &amp; Support</t>
  </si>
  <si>
    <t>1.2</t>
  </si>
  <si>
    <t>Backup &amp; Security</t>
  </si>
  <si>
    <t>Perancangan Arsitektur Sistem (Pola Komunikasi Front-End &amp; Back-End REST API) &amp; Skema Database</t>
  </si>
  <si>
    <t>Belum diatur secara eksplisit.</t>
  </si>
  <si>
    <t>Dokumen Spesifikasi Teknis &amp; REST API</t>
  </si>
  <si>
    <t>Backup rutin minimal 1x/bulan oleh Kodeintekno; jaminan keamanan aplikasi &amp; DB di MOU.</t>
  </si>
  <si>
    <t>SOP Backup wajib dapat diakses/diaudit Klien.</t>
  </si>
  <si>
    <t>Susun SOP Backup &amp; klausul Security MOU</t>
  </si>
  <si>
    <t>DevOps &amp; Legal</t>
  </si>
  <si>
    <t>Ketentuan Legal MOU</t>
  </si>
  <si>
    <t>Belum dirinci.</t>
  </si>
  <si>
    <t>Wajib memuat: Ownership, IP, Hak Cipta, Domain, Source Code, Brand, Force Majeure, Otoritas Perubahan, &amp; Mitra 3rd Party.</t>
  </si>
  <si>
    <t>Termasuk spesifikasi jaminan keamanan</t>
  </si>
  <si>
    <t>Kekuatan hukum mengikat setelah MOU ditandatangani.</t>
  </si>
  <si>
    <t>Finalisasi draf MOU sebelum Kick-off</t>
  </si>
  <si>
    <t>Legal &amp; Klien</t>
  </si>
  <si>
    <t>Batasan (Out of Scope)</t>
  </si>
  <si>
    <t>Aplikasi web responsif.</t>
  </si>
  <si>
    <t>Ditegaskan: Konten/soal disiapkan Klien; Native Mobile App (Android/iOS) tidak termasuk (hanya Responsive Web).</t>
  </si>
  <si>
    <t>Permintaan fitur baru di luar dokumen masuk Change Request.</t>
  </si>
  <si>
    <t>Sosialisasikan saat Kick-off Meeting</t>
  </si>
  <si>
    <t>1.3</t>
  </si>
  <si>
    <t>Pembuatan Wireframe &amp; Prototype Desain UI/UX Interaktif (Admin, Mentor, Taruna)</t>
  </si>
  <si>
    <t>Prototype Desain UI/UX (Figma)</t>
  </si>
  <si>
    <t>UI/UX Designer</t>
  </si>
  <si>
    <t>Responsive Web App (Desktop &amp; Mobile Browser)</t>
  </si>
  <si>
    <t>1.4</t>
  </si>
  <si>
    <t>Review, Verifikasi &amp; Persetujuan Deliverable Fase 1 (Acuan Milestone 2 - 20%)</t>
  </si>
  <si>
    <t>BAST Fase 1</t>
  </si>
  <si>
    <t>Maks. 5 hari kerja setelah disetujui</t>
  </si>
  <si>
    <t>2.1</t>
  </si>
  <si>
    <t>Fase 2: Core Webapps &amp; Live Lesson</t>
  </si>
  <si>
    <t>Setup Environment Server, Repository Git, &amp; Konfigurasi Dasar Struktur Front-End / Back-End</t>
  </si>
  <si>
    <t>Environment Dev &amp; Staging Siap</t>
  </si>
  <si>
    <t>DevOps / Back-End</t>
  </si>
  <si>
    <t>Menggunakan server mitra Kodeintekno</t>
  </si>
  <si>
    <t>2.2</t>
  </si>
  <si>
    <t>Pengembangan Sistem Login, Manajemen Role (Admin, Mentor, Taruna) &amp; Autentikasi 2FA</t>
  </si>
  <si>
    <t>Modul Auth &amp; Keamanan 2FA Aktif</t>
  </si>
  <si>
    <t>Back-End &amp; Front-End</t>
  </si>
  <si>
    <t>2FA wajib untuk akun Mentor &amp; Taruna</t>
  </si>
  <si>
    <t>2.3</t>
  </si>
  <si>
    <t>Pengembangan Modul Pembelajaran Berbasis Klasifikasi Jenis Kapal (Bulk Carrier, Tanker, Container, Passenger, dll)</t>
  </si>
  <si>
    <t>Modul Materi per Klasifikasi Kapal</t>
  </si>
  <si>
    <t>Fullstack Dev</t>
  </si>
  <si>
    <t>Fondasi pendidikan awal kadet taruna</t>
  </si>
  <si>
    <t>2.4</t>
  </si>
  <si>
    <t>Pengembangan Fitur Mentor Live Lesson (Jadwal &amp; Interactive Classroom / Live Stream)</t>
  </si>
  <si>
    <t>Fitur Live Lesson Terintegrasi</t>
  </si>
  <si>
    <t>Interaksi real-time mentor &amp; taruna</t>
  </si>
  <si>
    <t>2.5</t>
  </si>
  <si>
    <t>Dokumentasi Implementasi REST API Fase 2 &amp; Verifikasi Deliverable (Acuan Milestone 3 - 25%)</t>
  </si>
  <si>
    <t>BAST Fase 2 &amp; Pencairan</t>
  </si>
  <si>
    <t>3.1</t>
  </si>
  <si>
    <t>Fase 3: Assessment &amp; Video</t>
  </si>
  <si>
    <t>Pengembangan Sistem Pengujian Berjenjang (Assessment 5 Level Learning) &amp; Pelacakan Progres</t>
  </si>
  <si>
    <t>Modul Ujian Level 1 s/d Level 5</t>
  </si>
  <si>
    <t>Melacak progres kompetensi taruna</t>
  </si>
  <si>
    <t>3.2</t>
  </si>
  <si>
    <t>Integrasi Bank Soal &amp; Evaluasi Berstandar Maritim Internasional (Acuan STCW / Maritime Trainer)</t>
  </si>
  <si>
    <t>Fitur Kuis &amp; Evaluasi Standar Maritim</t>
  </si>
  <si>
    <t>Input soal disediakan oleh Klien</t>
  </si>
  <si>
    <t>3.3</t>
  </si>
  <si>
    <t>Pengembangan Rating System, Feedback Mentor, Sertifikat Digital, &amp; Webapps Dashboard</t>
  </si>
  <si>
    <t>Dashboard Admin/Mentor/Taruna Lengkap</t>
  </si>
  <si>
    <t>Front-End Dev</t>
  </si>
  <si>
    <t>Rekap nilai &amp; sertifikat kelulusan digital</t>
  </si>
  <si>
    <t>3.4</t>
  </si>
  <si>
    <t>Pengembangan Modul Video Pembelajaran Terintegrasi pada Platform</t>
  </si>
  <si>
    <t>Player &amp; Manajemen Video Pembelajaran</t>
  </si>
  <si>
    <t>Mendukung kurikulum visual taruna</t>
  </si>
  <si>
    <t>4.1</t>
  </si>
  <si>
    <t>Fase 4: Ticketing &amp; 3rd Party</t>
  </si>
  <si>
    <t>Pengembangan Sistem Pengaduan / Ticketing Pengguna Aplikasi (Alur Pelaporan &amp; Resolusi)</t>
  </si>
  <si>
    <t>Fitur Ticketing / Helpdesk Aktif</t>
  </si>
  <si>
    <t>Penambahan fitur sesuai Scope Confirmation</t>
  </si>
  <si>
    <t>4.2</t>
  </si>
  <si>
    <t>Integrasi Layanan Pihak Ketiga (Hosting Video Pembelajaran &amp; Konfigurasi Server Produksi)</t>
  </si>
  <si>
    <t>Integrasi Hosting Video &amp; Server Selesai</t>
  </si>
  <si>
    <t>Klien diinformasikan mengenai mitra 3rd party</t>
  </si>
  <si>
    <t>4.3</t>
  </si>
  <si>
    <t>Review &amp; Verifikasi Deliverable Fase 3 &amp; Fase 4 (Acuan Milestone 4 - 15%)</t>
  </si>
  <si>
    <t>BAST Fase 3-4</t>
  </si>
  <si>
    <t>5.1</t>
  </si>
  <si>
    <t>Fase 5: UAT, Security &amp; Go-Live</t>
  </si>
  <si>
    <t>End-to-End QA Testing, Bug Fixing, &amp; Security Hardening (Aplikasi &amp; Database)</t>
  </si>
  <si>
    <t>Laporan QA &amp; Jaminan Keamanan Sistem</t>
  </si>
  <si>
    <t>QA &amp; Security Eng</t>
  </si>
  <si>
    <t>Sesuai standar keamanan pada lampiran MOU</t>
  </si>
  <si>
    <t>5.2</t>
  </si>
  <si>
    <t>Pelaksanaan User Acceptance Test (UAT) Bersama Pak Mulya &amp; Perbaikan Minor</t>
  </si>
  <si>
    <t>Dokumen Sign-Off UAT</t>
  </si>
  <si>
    <t>PMO, QA &amp; Klien</t>
  </si>
  <si>
    <t>Ketepatan waktu bergantung respons UAT Klien</t>
  </si>
  <si>
    <t>5.3</t>
  </si>
  <si>
    <t>Deployment ke Production Server (Go-Live), Konfigurasi Domain (.com), SSL, &amp; SOP Backup Bulanan</t>
  </si>
  <si>
    <t>Platform Go-Live &amp; SOP Backup Data</t>
  </si>
  <si>
    <t>Backup rutin minimal 1x/bulan</t>
  </si>
  <si>
    <t>5.4</t>
  </si>
  <si>
    <t>Pelatihan Penggunaan (Admin, Mentor, Taruna), Serah Terima Akun Penuh &amp; Pencairan Milestone 5 (10%)</t>
  </si>
  <si>
    <t>BAST Akhir &amp; Training</t>
  </si>
  <si>
    <t>Proyek selesai &amp; masuk masa Maintenance 1 Tahun</t>
  </si>
  <si>
    <t>RATA-RATA PROGRES KESELURUHAN &amp; BEBAN AKTIVITAS PER MINGGU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</si>
</sst>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
  </numFmts>
  <fonts count="19">
    <font>
      <sz val="10"/>
      <color rgb="FF000000"/>
      <name val="Arial"/>
      <scheme val="minor"/>
    </font>
    <font>
      <sz val="10"/>
      <color theme="1"/>
      <name val="Arial"/>
      <scheme val="minor"/>
    </font>
    <font>
      <b/>
      <sz val="16"/>
      <color rgb="FF1F4E79"/>
      <name val="Calibri"/>
    </font>
    <font>
      <sz val="10"/>
      <color theme="1"/>
      <name val="Arial"/>
    </font>
    <font>
      <i/>
      <sz val="11"/>
      <color rgb="FF595959"/>
      <name val="Calibri"/>
    </font>
    <font>
      <b/>
      <sz val="24"/>
      <color theme="1"/>
      <name val="Arial"/>
      <scheme val="minor"/>
    </font>
    <font>
      <b/>
      <i/>
      <sz val="10"/>
      <color theme="1"/>
      <name val="&quot;Google Sans Text&quot;"/>
    </font>
    <font>
      <b/>
      <sz val="11"/>
      <color rgb="FFFFFFFF"/>
      <name val="Calibri"/>
    </font>
    <font>
      <sz val="10"/>
      <name val="Arial"/>
    </font>
    <font>
      <b/>
      <sz val="11"/>
      <color theme="1"/>
      <name val="Calibri"/>
    </font>
    <font>
      <sz val="11"/>
      <color theme="1"/>
      <name val="Calibri"/>
    </font>
    <font>
      <b/>
      <sz val="16"/>
      <color rgb="FFFFFFFF"/>
      <name val="Calibri"/>
    </font>
    <font>
      <i/>
      <sz val="11"/>
      <color rgb="FFE0E8F0"/>
      <name val="Calibri"/>
    </font>
    <font>
      <b/>
      <sz val="12"/>
      <color rgb="FF1B365D"/>
      <name val="Calibri"/>
    </font>
    <font>
      <b/>
      <sz val="10"/>
      <color rgb="FFFFFFFF"/>
      <name val="Calibri"/>
    </font>
    <font>
      <b/>
      <sz val="10"/>
      <color rgb="FF1E293B"/>
      <name val="Calibri"/>
    </font>
    <font>
      <sz val="10"/>
      <color rgb="FF1E293B"/>
      <name val="Calibri"/>
    </font>
    <font>
      <sz val="12"/>
      <color rgb="FF2B2B2B"/>
      <name val="Arial"/>
    </font>
    <font>
      <b/>
      <sz val="9"/>
      <color rgb="FF1B365D"/>
      <name val="Calibri"/>
    </font>
  </fonts>
  <fills count="15">
    <fill>
      <patternFill patternType="none"/>
    </fill>
    <fill>
      <patternFill patternType="gray125"/>
    </fill>
    <fill>
      <patternFill patternType="solid">
        <fgColor rgb="FF4472C4"/>
        <bgColor rgb="FF4472C4"/>
      </patternFill>
    </fill>
    <fill>
      <patternFill patternType="solid">
        <fgColor rgb="FFDCE6F1"/>
        <bgColor rgb="FFDCE6F1"/>
      </patternFill>
    </fill>
    <fill>
      <patternFill patternType="solid">
        <fgColor rgb="FF1B365D"/>
        <bgColor rgb="FF1B365D"/>
      </patternFill>
    </fill>
    <fill>
      <patternFill patternType="solid">
        <fgColor rgb="FF335C67"/>
        <bgColor rgb="FF335C67"/>
      </patternFill>
    </fill>
    <fill>
      <patternFill patternType="solid">
        <fgColor rgb="FFE2EFDA"/>
        <bgColor rgb="FFE2EFDA"/>
      </patternFill>
    </fill>
    <fill>
      <patternFill patternType="solid">
        <fgColor rgb="FF2B4C7E"/>
        <bgColor rgb="FF2B4C7E"/>
      </patternFill>
    </fill>
    <fill>
      <patternFill patternType="solid">
        <fgColor rgb="FFFFFFFF"/>
        <bgColor rgb="FFFFFFFF"/>
      </patternFill>
    </fill>
    <fill>
      <patternFill patternType="solid">
        <fgColor rgb="FF155724"/>
        <bgColor rgb="FF155724"/>
      </patternFill>
    </fill>
    <fill>
      <patternFill patternType="solid">
        <fgColor rgb="FFF4F7F9"/>
        <bgColor rgb="FFF4F7F9"/>
      </patternFill>
    </fill>
    <fill>
      <patternFill patternType="solid">
        <fgColor rgb="FF2F5496"/>
        <bgColor rgb="FF2F5496"/>
      </patternFill>
    </fill>
    <fill>
      <patternFill patternType="solid">
        <fgColor rgb="FFF9FAFB"/>
        <bgColor rgb="FFF9FAFB"/>
      </patternFill>
    </fill>
    <fill>
      <patternFill patternType="solid">
        <fgColor rgb="FF93C5FD"/>
        <bgColor rgb="FF93C5FD"/>
      </patternFill>
    </fill>
    <fill>
      <patternFill patternType="solid">
        <fgColor rgb="FFE2E8F0"/>
        <bgColor rgb="FFE2E8F0"/>
      </patternFill>
    </fill>
  </fills>
  <borders count="13">
    <border>
      <left/>
      <right/>
      <top/>
      <bottom/>
      <diagonal/>
    </border>
    <border>
      <left/>
      <right/>
      <top/>
      <bottom/>
      <diagonal/>
    </border>
    <border>
      <left/>
      <right/>
      <top/>
      <bottom/>
      <diagonal/>
    </border>
    <border>
      <left/>
      <right/>
      <top/>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1D9E0"/>
      </left>
      <right style="thin">
        <color rgb="FFD1D9E0"/>
      </right>
      <top style="thin">
        <color rgb="FFD1D9E0"/>
      </top>
      <bottom style="thin">
        <color rgb="FFD1D9E0"/>
      </bottom>
      <diagonal/>
    </border>
    <border>
      <left style="thin">
        <color rgb="FFD1D9E0"/>
      </left>
      <right/>
      <top style="thin">
        <color rgb="FFD1D9E0"/>
      </top>
      <bottom style="medium">
        <color rgb="FF1B365D"/>
      </bottom>
      <diagonal/>
    </border>
    <border>
      <left/>
      <right/>
      <top style="thin">
        <color rgb="FFD1D9E0"/>
      </top>
      <bottom style="medium">
        <color rgb="FF1B365D"/>
      </bottom>
      <diagonal/>
    </border>
    <border>
      <left/>
      <right style="thin">
        <color rgb="FFD1D9E0"/>
      </right>
      <top style="thin">
        <color rgb="FFD1D9E0"/>
      </top>
      <bottom style="medium">
        <color rgb="FF1B365D"/>
      </bottom>
      <diagonal/>
    </border>
    <border>
      <left style="thin">
        <color rgb="FFD1D9E0"/>
      </left>
      <right style="thin">
        <color rgb="FFD1D9E0"/>
      </right>
      <top style="thin">
        <color rgb="FFD1D9E0"/>
      </top>
      <bottom style="medium">
        <color rgb="FF1B365D"/>
      </bottom>
      <diagonal/>
    </border>
  </borders>
  <cellStyleXfs count="1">
    <xf numFmtId="0" fontId="0" fillId="0" borderId="0"/>
  </cellStyleXfs>
  <cellXfs count="55">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9" fillId="0" borderId="4" xfId="0" applyFont="1" applyBorder="1" applyAlignment="1">
      <alignment horizontal="left" vertical="center"/>
    </xf>
    <xf numFmtId="0" fontId="13" fillId="0" borderId="0" xfId="0" applyFont="1"/>
    <xf numFmtId="0" fontId="14" fillId="4" borderId="8" xfId="0" applyFont="1" applyFill="1" applyBorder="1" applyAlignment="1">
      <alignment horizontal="center" vertical="center" wrapText="1"/>
    </xf>
    <xf numFmtId="0" fontId="15" fillId="8" borderId="8" xfId="0" applyFont="1" applyFill="1" applyBorder="1" applyAlignment="1">
      <alignment horizontal="center" vertical="center" wrapText="1"/>
    </xf>
    <xf numFmtId="0" fontId="15" fillId="8" borderId="8" xfId="0" applyFont="1" applyFill="1" applyBorder="1" applyAlignment="1">
      <alignment horizontal="left" vertical="center" wrapText="1"/>
    </xf>
    <xf numFmtId="0" fontId="16" fillId="8" borderId="8" xfId="0" applyFont="1" applyFill="1" applyBorder="1" applyAlignment="1">
      <alignment horizontal="left" vertical="center" wrapText="1"/>
    </xf>
    <xf numFmtId="0" fontId="16" fillId="8" borderId="8" xfId="0" applyFont="1" applyFill="1" applyBorder="1" applyAlignment="1">
      <alignment horizontal="center" vertical="center" wrapText="1"/>
    </xf>
    <xf numFmtId="0" fontId="15" fillId="10" borderId="8" xfId="0" applyFont="1" applyFill="1" applyBorder="1" applyAlignment="1">
      <alignment horizontal="center" vertical="center" wrapText="1"/>
    </xf>
    <xf numFmtId="0" fontId="15" fillId="10" borderId="8" xfId="0" applyFont="1" applyFill="1" applyBorder="1" applyAlignment="1">
      <alignment horizontal="left" vertical="center" wrapText="1"/>
    </xf>
    <xf numFmtId="0" fontId="16" fillId="10" borderId="8" xfId="0" applyFont="1" applyFill="1" applyBorder="1" applyAlignment="1">
      <alignment horizontal="left" vertical="center" wrapText="1"/>
    </xf>
    <xf numFmtId="0" fontId="16" fillId="10" borderId="8" xfId="0" applyFont="1" applyFill="1" applyBorder="1" applyAlignment="1">
      <alignment horizontal="center" vertical="center" wrapText="1"/>
    </xf>
    <xf numFmtId="0" fontId="7" fillId="11" borderId="4" xfId="0" applyFont="1" applyFill="1" applyBorder="1" applyAlignment="1">
      <alignment horizontal="center" vertical="center"/>
    </xf>
    <xf numFmtId="0" fontId="9" fillId="0" borderId="4" xfId="0" applyFont="1" applyBorder="1"/>
    <xf numFmtId="0" fontId="17" fillId="0" borderId="0" xfId="0" applyFont="1"/>
    <xf numFmtId="164" fontId="10" fillId="0" borderId="4" xfId="0" applyNumberFormat="1" applyFont="1" applyBorder="1" applyAlignment="1">
      <alignment horizontal="center" vertical="center"/>
    </xf>
    <xf numFmtId="0" fontId="9" fillId="0" borderId="4" xfId="0" applyFont="1" applyBorder="1" applyAlignment="1">
      <alignment horizontal="center" vertical="center"/>
    </xf>
    <xf numFmtId="0" fontId="10" fillId="0" borderId="4" xfId="0" applyFont="1" applyBorder="1" applyAlignment="1">
      <alignment horizontal="center" vertical="center"/>
    </xf>
    <xf numFmtId="9" fontId="16" fillId="8" borderId="8" xfId="0" applyNumberFormat="1" applyFont="1" applyFill="1" applyBorder="1" applyAlignment="1">
      <alignment horizontal="right" vertical="center" wrapText="1"/>
    </xf>
    <xf numFmtId="0" fontId="9" fillId="12" borderId="4" xfId="0" applyFont="1" applyFill="1" applyBorder="1"/>
    <xf numFmtId="0" fontId="9" fillId="12" borderId="4" xfId="0" applyFont="1" applyFill="1" applyBorder="1" applyAlignment="1">
      <alignment horizontal="center" vertical="center"/>
    </xf>
    <xf numFmtId="0" fontId="10" fillId="12" borderId="4" xfId="0" applyFont="1" applyFill="1" applyBorder="1" applyAlignment="1">
      <alignment horizontal="center" vertical="center"/>
    </xf>
    <xf numFmtId="0" fontId="18" fillId="13" borderId="8" xfId="0" applyFont="1" applyFill="1" applyBorder="1" applyAlignment="1">
      <alignment horizontal="center" vertical="center" wrapText="1"/>
    </xf>
    <xf numFmtId="0" fontId="10" fillId="8" borderId="8" xfId="0" applyFont="1" applyFill="1" applyBorder="1" applyAlignment="1">
      <alignment horizontal="center" vertical="center" wrapText="1"/>
    </xf>
    <xf numFmtId="9" fontId="16" fillId="10" borderId="8" xfId="0" applyNumberFormat="1" applyFont="1" applyFill="1" applyBorder="1" applyAlignment="1">
      <alignment horizontal="right" vertical="center" wrapText="1"/>
    </xf>
    <xf numFmtId="0" fontId="10" fillId="10" borderId="8" xfId="0" applyFont="1" applyFill="1" applyBorder="1" applyAlignment="1">
      <alignment horizontal="center" vertical="center" wrapText="1"/>
    </xf>
    <xf numFmtId="0" fontId="14" fillId="5" borderId="8" xfId="0" applyFont="1" applyFill="1" applyBorder="1" applyAlignment="1">
      <alignment horizontal="center" vertical="center" wrapText="1"/>
    </xf>
    <xf numFmtId="0" fontId="15" fillId="14" borderId="12" xfId="0" applyFont="1" applyFill="1" applyBorder="1" applyAlignment="1">
      <alignment horizontal="center" vertical="center" wrapText="1"/>
    </xf>
    <xf numFmtId="165" fontId="15" fillId="14" borderId="12" xfId="0" applyNumberFormat="1" applyFont="1" applyFill="1" applyBorder="1" applyAlignment="1">
      <alignment horizontal="right" vertical="center" wrapText="1"/>
    </xf>
    <xf numFmtId="0" fontId="10" fillId="14" borderId="12" xfId="0" applyFont="1" applyFill="1" applyBorder="1"/>
    <xf numFmtId="0" fontId="7" fillId="2" borderId="1" xfId="0" applyFont="1" applyFill="1" applyBorder="1" applyAlignment="1">
      <alignment horizontal="left" vertical="center"/>
    </xf>
    <xf numFmtId="0" fontId="8" fillId="0" borderId="2" xfId="0" applyFont="1" applyBorder="1"/>
    <xf numFmtId="0" fontId="8" fillId="0" borderId="3" xfId="0" applyFont="1" applyBorder="1"/>
    <xf numFmtId="0" fontId="10" fillId="0" borderId="5" xfId="0" applyFont="1" applyBorder="1" applyAlignment="1">
      <alignment horizontal="left" vertical="center"/>
    </xf>
    <xf numFmtId="0" fontId="8" fillId="0" borderId="6" xfId="0" applyFont="1" applyBorder="1"/>
    <xf numFmtId="0" fontId="8" fillId="0" borderId="7" xfId="0" applyFont="1" applyBorder="1"/>
    <xf numFmtId="164" fontId="10" fillId="3" borderId="5" xfId="0" applyNumberFormat="1" applyFont="1" applyFill="1" applyBorder="1" applyAlignment="1">
      <alignment horizontal="center" vertical="center"/>
    </xf>
    <xf numFmtId="10" fontId="9" fillId="6" borderId="5" xfId="0" applyNumberFormat="1" applyFont="1" applyFill="1" applyBorder="1" applyAlignment="1">
      <alignment horizontal="center" vertical="center"/>
    </xf>
    <xf numFmtId="0" fontId="7" fillId="2" borderId="1" xfId="0" applyFont="1" applyFill="1" applyBorder="1"/>
    <xf numFmtId="0" fontId="10" fillId="0" borderId="5" xfId="0" applyFont="1" applyBorder="1"/>
    <xf numFmtId="3" fontId="9" fillId="6" borderId="5" xfId="0" applyNumberFormat="1" applyFont="1" applyFill="1" applyBorder="1" applyAlignment="1">
      <alignment horizontal="center" vertical="center"/>
    </xf>
    <xf numFmtId="0" fontId="14" fillId="5" borderId="1" xfId="0" applyFont="1" applyFill="1" applyBorder="1" applyAlignment="1">
      <alignment horizontal="center" vertical="center" wrapText="1"/>
    </xf>
    <xf numFmtId="0" fontId="15" fillId="14" borderId="9" xfId="0" applyFont="1" applyFill="1" applyBorder="1" applyAlignment="1">
      <alignment horizontal="right" vertical="center" wrapText="1"/>
    </xf>
    <xf numFmtId="0" fontId="8" fillId="0" borderId="10" xfId="0" applyFont="1" applyBorder="1"/>
    <xf numFmtId="0" fontId="8" fillId="0" borderId="11" xfId="0" applyFont="1" applyBorder="1"/>
    <xf numFmtId="0" fontId="11" fillId="4" borderId="1" xfId="0" applyFont="1" applyFill="1" applyBorder="1" applyAlignment="1">
      <alignment horizontal="left" vertical="center"/>
    </xf>
    <xf numFmtId="0" fontId="12" fillId="5" borderId="1" xfId="0" applyFont="1" applyFill="1" applyBorder="1" applyAlignment="1">
      <alignment horizontal="left" vertical="center"/>
    </xf>
    <xf numFmtId="0" fontId="14" fillId="7" borderId="1" xfId="0" applyFont="1" applyFill="1" applyBorder="1" applyAlignment="1">
      <alignment horizontal="center" vertical="center" wrapText="1"/>
    </xf>
    <xf numFmtId="0" fontId="14" fillId="9" borderId="1" xfId="0" applyFont="1" applyFill="1" applyBorder="1" applyAlignment="1">
      <alignment horizontal="center" vertical="center" wrapText="1"/>
    </xf>
  </cellXfs>
  <cellStyles count="1">
    <cellStyle name="Normal" xfId="0" builtinId="0"/>
  </cellStyles>
  <dxfs count="3">
    <dxf>
      <font>
        <b/>
        <sz val="10"/>
        <color rgb="FF721C24"/>
        <name val="Calibri"/>
      </font>
      <fill>
        <patternFill patternType="solid">
          <fgColor rgb="FFF8D7DA"/>
          <bgColor rgb="FFF8D7DA"/>
        </patternFill>
      </fill>
    </dxf>
    <dxf>
      <font>
        <b/>
        <sz val="10"/>
        <color rgb="FF856404"/>
        <name val="Calibri"/>
      </font>
      <fill>
        <patternFill patternType="solid">
          <fgColor rgb="FFFFF3CD"/>
          <bgColor rgb="FFFFF3CD"/>
        </patternFill>
      </fill>
    </dxf>
    <dxf>
      <font>
        <b/>
        <sz val="10"/>
        <color rgb="FF155724"/>
        <name val="Calibri"/>
      </font>
      <fill>
        <patternFill patternType="solid">
          <fgColor rgb="FFD4EDDA"/>
          <bgColor rgb="FFD4EDDA"/>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0"/>
  <sheetViews>
    <sheetView workbookViewId="0"/>
  </sheetViews>
  <sheetFormatPr defaultColWidth="12.6328125" defaultRowHeight="15.75" customHeight="1"/>
  <cols>
    <col min="1" max="1" width="28.6328125" customWidth="1"/>
    <col min="2" max="2" width="58.453125" customWidth="1"/>
    <col min="3" max="4" width="14" customWidth="1"/>
    <col min="5" max="5" width="24.453125" customWidth="1"/>
    <col min="6" max="6" width="19.26953125" customWidth="1"/>
    <col min="7" max="26" width="7.6328125" customWidth="1"/>
  </cols>
  <sheetData>
    <row r="1" spans="1:5" ht="15.75" customHeight="1">
      <c r="A1" s="2" t="s">
        <v>0</v>
      </c>
      <c r="E1" s="1" t="s">
        <v>3</v>
      </c>
    </row>
    <row r="2" spans="1:5" ht="15.75" customHeight="1">
      <c r="A2" s="4" t="s">
        <v>7</v>
      </c>
    </row>
    <row r="4" spans="1:5" ht="15.75" customHeight="1">
      <c r="A4" s="36" t="s">
        <v>13</v>
      </c>
      <c r="B4" s="37"/>
      <c r="C4" s="37"/>
      <c r="D4" s="38"/>
    </row>
    <row r="5" spans="1:5" ht="15.75" customHeight="1">
      <c r="A5" s="7" t="s">
        <v>17</v>
      </c>
      <c r="B5" s="39" t="s">
        <v>19</v>
      </c>
      <c r="C5" s="40"/>
      <c r="D5" s="41"/>
    </row>
    <row r="6" spans="1:5" ht="15.75" customHeight="1">
      <c r="A6" s="7" t="s">
        <v>20</v>
      </c>
      <c r="B6" s="42">
        <v>46314</v>
      </c>
      <c r="C6" s="40"/>
      <c r="D6" s="41"/>
    </row>
    <row r="7" spans="1:5" ht="15.75" customHeight="1">
      <c r="A7" s="7" t="s">
        <v>21</v>
      </c>
      <c r="B7" s="42">
        <v>46314</v>
      </c>
      <c r="C7" s="40"/>
      <c r="D7" s="41"/>
    </row>
    <row r="8" spans="1:5" ht="15.75" customHeight="1">
      <c r="A8" s="7" t="s">
        <v>23</v>
      </c>
      <c r="B8" s="42">
        <v>46437</v>
      </c>
      <c r="C8" s="40"/>
      <c r="D8" s="41"/>
    </row>
    <row r="9" spans="1:5" ht="15.75" customHeight="1">
      <c r="A9" s="7" t="s">
        <v>25</v>
      </c>
      <c r="B9" s="39" t="s">
        <v>26</v>
      </c>
      <c r="C9" s="40"/>
      <c r="D9" s="41"/>
    </row>
    <row r="10" spans="1:5" ht="15.75" customHeight="1">
      <c r="A10" s="7" t="s">
        <v>27</v>
      </c>
      <c r="B10" s="39" t="s">
        <v>28</v>
      </c>
      <c r="C10" s="40"/>
      <c r="D10" s="41"/>
    </row>
    <row r="12" spans="1:5" ht="15.75" customHeight="1">
      <c r="A12" s="36" t="s">
        <v>29</v>
      </c>
      <c r="B12" s="37"/>
      <c r="C12" s="37"/>
      <c r="D12" s="38"/>
    </row>
    <row r="13" spans="1:5" ht="15.75" customHeight="1">
      <c r="A13" s="7" t="s">
        <v>30</v>
      </c>
      <c r="B13" s="46">
        <f>COUNTIF('Project Timeline'!F9:F33, "Complete")</f>
        <v>0</v>
      </c>
      <c r="C13" s="40"/>
      <c r="D13" s="41"/>
    </row>
    <row r="14" spans="1:5" ht="15.75" customHeight="1">
      <c r="A14" s="7" t="s">
        <v>38</v>
      </c>
      <c r="B14" s="46">
        <f>COUNTIF('Project Timeline'!F9:F33, "In Progress")</f>
        <v>0</v>
      </c>
      <c r="C14" s="40"/>
      <c r="D14" s="41"/>
    </row>
    <row r="15" spans="1:5" ht="15.75" customHeight="1">
      <c r="A15" s="7" t="s">
        <v>46</v>
      </c>
      <c r="B15" s="46">
        <f>COUNTIF('Project Timeline'!F9:F33, "Not Started")</f>
        <v>0</v>
      </c>
      <c r="C15" s="40"/>
      <c r="D15" s="41"/>
    </row>
    <row r="16" spans="1:5" ht="15.75" customHeight="1">
      <c r="A16" s="7" t="s">
        <v>50</v>
      </c>
      <c r="B16" s="46">
        <f>COUNTIF('Project Timeline'!F9:F33, "Blocked")</f>
        <v>0</v>
      </c>
      <c r="C16" s="40"/>
      <c r="D16" s="41"/>
    </row>
    <row r="17" spans="1:6" ht="15.75" customHeight="1">
      <c r="A17" s="7" t="s">
        <v>56</v>
      </c>
      <c r="B17" s="46">
        <f>COUNTA('Project Timeline'!F9:F33)</f>
        <v>20</v>
      </c>
      <c r="C17" s="40"/>
      <c r="D17" s="41"/>
    </row>
    <row r="18" spans="1:6" ht="15.75" customHeight="1">
      <c r="A18" s="7" t="s">
        <v>68</v>
      </c>
      <c r="B18" s="43">
        <f>AVERAGE('Project Timeline'!J29)</f>
        <v>2.1739130434782608E-2</v>
      </c>
      <c r="C18" s="40"/>
      <c r="D18" s="41"/>
    </row>
    <row r="20" spans="1:6" ht="15.75" customHeight="1">
      <c r="A20" s="44" t="s">
        <v>95</v>
      </c>
      <c r="B20" s="37"/>
      <c r="C20" s="37"/>
      <c r="D20" s="37"/>
      <c r="E20" s="37"/>
      <c r="F20" s="38"/>
    </row>
    <row r="21" spans="1:6" ht="15.75" customHeight="1">
      <c r="A21" s="18" t="s">
        <v>98</v>
      </c>
      <c r="B21" s="18" t="s">
        <v>104</v>
      </c>
      <c r="C21" s="18" t="s">
        <v>106</v>
      </c>
      <c r="D21" s="18" t="s">
        <v>108</v>
      </c>
      <c r="E21" s="18" t="s">
        <v>109</v>
      </c>
      <c r="F21" s="18" t="s">
        <v>110</v>
      </c>
    </row>
    <row r="22" spans="1:6" ht="15.5">
      <c r="A22" s="19" t="s">
        <v>112</v>
      </c>
      <c r="B22" s="20" t="s">
        <v>116</v>
      </c>
      <c r="C22" s="21">
        <v>46314</v>
      </c>
      <c r="D22" s="21">
        <v>46339</v>
      </c>
      <c r="E22" s="22"/>
      <c r="F22" s="23"/>
    </row>
    <row r="23" spans="1:6" ht="15.5">
      <c r="A23" s="25" t="s">
        <v>127</v>
      </c>
      <c r="B23" s="20" t="s">
        <v>133</v>
      </c>
      <c r="C23" s="21">
        <v>46342</v>
      </c>
      <c r="D23" s="21">
        <v>46374</v>
      </c>
      <c r="E23" s="26"/>
      <c r="F23" s="27"/>
    </row>
    <row r="24" spans="1:6" ht="15.5">
      <c r="A24" s="19" t="s">
        <v>141</v>
      </c>
      <c r="B24" s="20" t="s">
        <v>143</v>
      </c>
      <c r="C24" s="21">
        <v>46377</v>
      </c>
      <c r="D24" s="21">
        <v>46402</v>
      </c>
      <c r="E24" s="22"/>
      <c r="F24" s="23"/>
    </row>
    <row r="25" spans="1:6" ht="15.5">
      <c r="A25" s="25" t="s">
        <v>146</v>
      </c>
      <c r="B25" s="20" t="s">
        <v>147</v>
      </c>
      <c r="C25" s="21">
        <v>46405</v>
      </c>
      <c r="D25" s="21">
        <v>46423</v>
      </c>
      <c r="E25" s="26"/>
      <c r="F25" s="27"/>
    </row>
    <row r="26" spans="1:6" ht="15.5">
      <c r="A26" s="19" t="s">
        <v>149</v>
      </c>
      <c r="B26" s="20" t="s">
        <v>151</v>
      </c>
      <c r="C26" s="21">
        <v>46426</v>
      </c>
      <c r="D26" s="21">
        <v>46437</v>
      </c>
      <c r="E26" s="22"/>
      <c r="F26" s="23"/>
    </row>
    <row r="27" spans="1:6" ht="12.5"/>
    <row r="28" spans="1:6" ht="12.5"/>
    <row r="29" spans="1:6" ht="14.5">
      <c r="A29" s="44" t="s">
        <v>156</v>
      </c>
      <c r="B29" s="37"/>
      <c r="C29" s="37"/>
      <c r="D29" s="38"/>
    </row>
    <row r="30" spans="1:6" ht="14.5">
      <c r="A30" s="19" t="s">
        <v>161</v>
      </c>
      <c r="B30" s="45" t="s">
        <v>166</v>
      </c>
      <c r="C30" s="40"/>
      <c r="D30" s="41"/>
    </row>
    <row r="31" spans="1:6" ht="14.5">
      <c r="A31" s="19" t="s">
        <v>171</v>
      </c>
      <c r="B31" s="45" t="s">
        <v>173</v>
      </c>
      <c r="C31" s="40"/>
      <c r="D31" s="41"/>
    </row>
    <row r="32" spans="1:6" ht="14.5">
      <c r="A32" s="19" t="s">
        <v>174</v>
      </c>
      <c r="B32" s="45" t="s">
        <v>175</v>
      </c>
      <c r="C32" s="40"/>
      <c r="D32" s="41"/>
    </row>
    <row r="33" spans="1:4" ht="14.5">
      <c r="A33" s="19" t="s">
        <v>177</v>
      </c>
      <c r="B33" s="45" t="s">
        <v>178</v>
      </c>
      <c r="C33" s="40"/>
      <c r="D33" s="41"/>
    </row>
    <row r="34" spans="1:4" ht="14.5">
      <c r="A34" s="19" t="s">
        <v>179</v>
      </c>
      <c r="B34" s="45" t="s">
        <v>180</v>
      </c>
      <c r="C34" s="40"/>
      <c r="D34" s="41"/>
    </row>
    <row r="35" spans="1:4" ht="12.5"/>
    <row r="36" spans="1:4" ht="12.5"/>
    <row r="37" spans="1:4" ht="12.5"/>
    <row r="38" spans="1:4" ht="12.5"/>
    <row r="39" spans="1:4" ht="12.5"/>
    <row r="40" spans="1:4" ht="12.5"/>
    <row r="41" spans="1:4" ht="12.5"/>
    <row r="42" spans="1:4" ht="12.5"/>
    <row r="43" spans="1:4" ht="12.5"/>
    <row r="44" spans="1:4" ht="12.5"/>
    <row r="45" spans="1:4" ht="12.5"/>
    <row r="46" spans="1:4" ht="12.5"/>
    <row r="47" spans="1:4" ht="12.5"/>
    <row r="48" spans="1:4" ht="12.5"/>
    <row r="49" ht="12.5"/>
    <row r="50" ht="12.5"/>
    <row r="51" ht="12.5"/>
    <row r="52" ht="12.5"/>
    <row r="53" ht="12.5"/>
    <row r="54" ht="12.5"/>
    <row r="55" ht="12.5"/>
    <row r="56" ht="12.5"/>
    <row r="57" ht="12.5"/>
    <row r="58" ht="12.5"/>
    <row r="59" ht="12.5"/>
    <row r="60" ht="12.5"/>
    <row r="61" ht="12.5"/>
    <row r="62" ht="12.5"/>
    <row r="63" ht="12.5"/>
    <row r="64" ht="12.5"/>
    <row r="65" ht="12.5"/>
    <row r="66" ht="12.5"/>
    <row r="67" ht="12.5"/>
    <row r="68" ht="12.5"/>
    <row r="69" ht="12.5"/>
    <row r="70" ht="12.5"/>
    <row r="71" ht="12.5"/>
    <row r="72" ht="12.5"/>
    <row r="73" ht="12.5"/>
    <row r="74" ht="12.5"/>
    <row r="75" ht="12.5"/>
    <row r="76" ht="12.5"/>
    <row r="77" ht="12.5"/>
    <row r="78" ht="12.5"/>
    <row r="79" ht="12.5"/>
    <row r="80" ht="12.5"/>
    <row r="81" ht="12.5"/>
    <row r="82" ht="12.5"/>
    <row r="83" ht="12.5"/>
    <row r="84" ht="12.5"/>
    <row r="85" ht="12.5"/>
    <row r="86" ht="12.5"/>
    <row r="87" ht="12.5"/>
    <row r="88" ht="12.5"/>
    <row r="89" ht="12.5"/>
    <row r="90" ht="12.5"/>
    <row r="91" ht="12.5"/>
    <row r="92" ht="12.5"/>
    <row r="93" ht="12.5"/>
    <row r="94" ht="12.5"/>
    <row r="95" ht="12.5"/>
    <row r="96" ht="12.5"/>
    <row r="97" ht="12.5"/>
    <row r="98" ht="12.5"/>
    <row r="99" ht="12.5"/>
    <row r="100" ht="12.5"/>
    <row r="101" ht="12.5"/>
    <row r="102" ht="12.5"/>
    <row r="103" ht="12.5"/>
    <row r="104" ht="12.5"/>
    <row r="105" ht="12.5"/>
    <row r="106" ht="12.5"/>
    <row r="107" ht="12.5"/>
    <row r="108" ht="12.5"/>
    <row r="109" ht="12.5"/>
    <row r="110" ht="12.5"/>
    <row r="111" ht="12.5"/>
    <row r="112" ht="12.5"/>
    <row r="113" ht="12.5"/>
    <row r="114" ht="12.5"/>
    <row r="115" ht="12.5"/>
    <row r="116" ht="12.5"/>
    <row r="117" ht="12.5"/>
    <row r="118" ht="12.5"/>
    <row r="119" ht="12.5"/>
    <row r="120" ht="12.5"/>
    <row r="121" ht="12.5"/>
    <row r="122" ht="12.5"/>
    <row r="123" ht="12.5"/>
    <row r="124" ht="12.5"/>
    <row r="125" ht="12.5"/>
    <row r="126" ht="12.5"/>
    <row r="127" ht="12.5"/>
    <row r="128" ht="12.5"/>
    <row r="129" ht="12.5"/>
    <row r="130" ht="12.5"/>
    <row r="131" ht="12.5"/>
    <row r="132" ht="12.5"/>
    <row r="133" ht="12.5"/>
    <row r="134" ht="12.5"/>
    <row r="135" ht="12.5"/>
    <row r="136" ht="12.5"/>
    <row r="137" ht="12.5"/>
    <row r="138" ht="12.5"/>
    <row r="139" ht="12.5"/>
    <row r="140" ht="12.5"/>
    <row r="141" ht="12.5"/>
    <row r="142" ht="12.5"/>
    <row r="143" ht="12.5"/>
    <row r="144" ht="12.5"/>
    <row r="145" ht="12.5"/>
    <row r="146" ht="12.5"/>
    <row r="147" ht="12.5"/>
    <row r="148" ht="12.5"/>
    <row r="149" ht="12.5"/>
    <row r="150" ht="12.5"/>
    <row r="151" ht="12.5"/>
    <row r="152" ht="12.5"/>
    <row r="153" ht="12.5"/>
    <row r="154" ht="12.5"/>
    <row r="155" ht="12.5"/>
    <row r="156" ht="12.5"/>
    <row r="157" ht="12.5"/>
    <row r="158" ht="12.5"/>
    <row r="159" ht="12.5"/>
    <row r="160" ht="12.5"/>
    <row r="161" ht="12.5"/>
    <row r="162" ht="12.5"/>
    <row r="163" ht="12.5"/>
    <row r="164" ht="12.5"/>
    <row r="165" ht="12.5"/>
    <row r="166" ht="12.5"/>
    <row r="167" ht="12.5"/>
    <row r="168" ht="12.5"/>
    <row r="169" ht="12.5"/>
    <row r="170" ht="12.5"/>
    <row r="171" ht="12.5"/>
    <row r="172" ht="12.5"/>
    <row r="173" ht="12.5"/>
    <row r="174" ht="12.5"/>
    <row r="175" ht="12.5"/>
    <row r="176" ht="12.5"/>
    <row r="177" ht="12.5"/>
    <row r="178" ht="12.5"/>
    <row r="179" ht="12.5"/>
    <row r="180" ht="12.5"/>
    <row r="181" ht="12.5"/>
    <row r="182" ht="12.5"/>
    <row r="183" ht="12.5"/>
    <row r="184" ht="12.5"/>
    <row r="185" ht="12.5"/>
    <row r="186" ht="12.5"/>
    <row r="187" ht="12.5"/>
    <row r="188" ht="12.5"/>
    <row r="189" ht="12.5"/>
    <row r="190" ht="12.5"/>
    <row r="191" ht="12.5"/>
    <row r="192" ht="12.5"/>
    <row r="193" ht="12.5"/>
    <row r="194" ht="12.5"/>
    <row r="195" ht="12.5"/>
    <row r="196" ht="12.5"/>
    <row r="197" ht="12.5"/>
    <row r="198" ht="12.5"/>
    <row r="199" ht="12.5"/>
    <row r="200" ht="12.5"/>
    <row r="201" ht="12.5"/>
    <row r="202" ht="12.5"/>
    <row r="203" ht="12.5"/>
    <row r="204" ht="12.5"/>
    <row r="205" ht="12.5"/>
    <row r="206" ht="12.5"/>
    <row r="207" ht="12.5"/>
    <row r="208" ht="12.5"/>
    <row r="209" ht="12.5"/>
    <row r="210" ht="12.5"/>
    <row r="211" ht="12.5"/>
    <row r="212" ht="12.5"/>
    <row r="213" ht="12.5"/>
    <row r="214" ht="12.5"/>
    <row r="215" ht="12.5"/>
    <row r="216" ht="12.5"/>
    <row r="217" ht="12.5"/>
    <row r="218" ht="12.5"/>
    <row r="219" ht="12.5"/>
    <row r="220" ht="12.5"/>
    <row r="221" ht="12.5"/>
    <row r="222" ht="12.5"/>
    <row r="223" ht="12.5"/>
    <row r="224" ht="12.5"/>
    <row r="225" ht="12.5"/>
    <row r="226" ht="12.5"/>
    <row r="227" ht="12.5"/>
    <row r="228" ht="12.5"/>
    <row r="229" ht="12.5"/>
    <row r="230" ht="12.5"/>
    <row r="231" ht="12.5"/>
    <row r="232" ht="12.5"/>
    <row r="233" ht="12.5"/>
    <row r="234" ht="12.5"/>
    <row r="235" ht="12.5"/>
    <row r="236" ht="12.5"/>
    <row r="237" ht="12.5"/>
    <row r="238" ht="12.5"/>
    <row r="239" ht="12.5"/>
    <row r="240" ht="12.5"/>
    <row r="241" ht="12.5"/>
    <row r="242" ht="12.5"/>
    <row r="243" ht="12.5"/>
    <row r="244" ht="12.5"/>
    <row r="245" ht="12.5"/>
    <row r="246" ht="12.5"/>
    <row r="247" ht="12.5"/>
    <row r="248" ht="12.5"/>
    <row r="249" ht="12.5"/>
    <row r="250" ht="12.5"/>
    <row r="251" ht="12.5"/>
    <row r="252" ht="12.5"/>
    <row r="253" ht="12.5"/>
    <row r="254" ht="12.5"/>
    <row r="255" ht="12.5"/>
    <row r="256" ht="12.5"/>
    <row r="257" ht="12.5"/>
    <row r="258" ht="12.5"/>
    <row r="259" ht="12.5"/>
    <row r="260" ht="12.5"/>
    <row r="261" ht="12.5"/>
    <row r="262" ht="12.5"/>
    <row r="263" ht="12.5"/>
    <row r="264" ht="12.5"/>
    <row r="265" ht="12.5"/>
    <row r="266" ht="12.5"/>
    <row r="267" ht="12.5"/>
    <row r="268" ht="12.5"/>
    <row r="269" ht="12.5"/>
    <row r="270" ht="12.5"/>
    <row r="271" ht="12.5"/>
    <row r="272" ht="12.5"/>
    <row r="273" ht="12.5"/>
    <row r="274" ht="12.5"/>
    <row r="275" ht="12.5"/>
    <row r="276" ht="12.5"/>
    <row r="277" ht="12.5"/>
    <row r="278" ht="12.5"/>
    <row r="279" ht="12.5"/>
    <row r="280" ht="12.5"/>
    <row r="281" ht="12.5"/>
    <row r="282" ht="12.5"/>
    <row r="283" ht="12.5"/>
    <row r="284" ht="12.5"/>
    <row r="285" ht="12.5"/>
    <row r="286" ht="12.5"/>
    <row r="287" ht="12.5"/>
    <row r="288" ht="12.5"/>
    <row r="289" ht="12.5"/>
    <row r="290" ht="12.5"/>
    <row r="291" ht="12.5"/>
    <row r="292" ht="12.5"/>
    <row r="293" ht="12.5"/>
    <row r="294" ht="12.5"/>
    <row r="295" ht="12.5"/>
    <row r="296" ht="12.5"/>
    <row r="297" ht="12.5"/>
    <row r="298" ht="12.5"/>
    <row r="299" ht="12.5"/>
    <row r="300" ht="12.5"/>
    <row r="301" ht="12.5"/>
    <row r="302" ht="12.5"/>
    <row r="303" ht="12.5"/>
    <row r="304" ht="12.5"/>
    <row r="305" ht="12.5"/>
    <row r="306" ht="12.5"/>
    <row r="307" ht="12.5"/>
    <row r="308" ht="12.5"/>
    <row r="309" ht="12.5"/>
    <row r="310" ht="12.5"/>
    <row r="311" ht="12.5"/>
    <row r="312" ht="12.5"/>
    <row r="313" ht="12.5"/>
    <row r="314" ht="12.5"/>
    <row r="315" ht="12.5"/>
    <row r="316" ht="12.5"/>
    <row r="317" ht="12.5"/>
    <row r="318" ht="12.5"/>
    <row r="319" ht="12.5"/>
    <row r="320" ht="12.5"/>
    <row r="321" ht="12.5"/>
    <row r="322" ht="12.5"/>
    <row r="323" ht="12.5"/>
    <row r="324" ht="12.5"/>
    <row r="325" ht="12.5"/>
    <row r="326" ht="12.5"/>
    <row r="327" ht="12.5"/>
    <row r="328" ht="12.5"/>
    <row r="329" ht="12.5"/>
    <row r="330" ht="12.5"/>
    <row r="331" ht="12.5"/>
    <row r="332" ht="12.5"/>
    <row r="333" ht="12.5"/>
    <row r="334" ht="12.5"/>
    <row r="335" ht="12.5"/>
    <row r="336" ht="12.5"/>
    <row r="337" ht="12.5"/>
    <row r="338" ht="12.5"/>
    <row r="339" ht="12.5"/>
    <row r="340" ht="12.5"/>
    <row r="341" ht="12.5"/>
    <row r="342" ht="12.5"/>
    <row r="343" ht="12.5"/>
    <row r="344" ht="12.5"/>
    <row r="345" ht="12.5"/>
    <row r="346" ht="12.5"/>
    <row r="347" ht="12.5"/>
    <row r="348" ht="12.5"/>
    <row r="349" ht="12.5"/>
    <row r="350" ht="12.5"/>
    <row r="351" ht="12.5"/>
    <row r="352" ht="12.5"/>
    <row r="353" ht="12.5"/>
    <row r="354" ht="12.5"/>
    <row r="355" ht="12.5"/>
    <row r="356" ht="12.5"/>
    <row r="357" ht="12.5"/>
    <row r="358" ht="12.5"/>
    <row r="359" ht="12.5"/>
    <row r="360" ht="12.5"/>
    <row r="361" ht="12.5"/>
    <row r="362" ht="12.5"/>
    <row r="363" ht="12.5"/>
    <row r="364" ht="12.5"/>
    <row r="365" ht="12.5"/>
    <row r="366" ht="12.5"/>
    <row r="367" ht="12.5"/>
    <row r="368" ht="12.5"/>
    <row r="369" ht="12.5"/>
    <row r="370" ht="12.5"/>
    <row r="371" ht="12.5"/>
    <row r="372" ht="12.5"/>
    <row r="373" ht="12.5"/>
    <row r="374" ht="12.5"/>
    <row r="375" ht="12.5"/>
    <row r="376" ht="12.5"/>
    <row r="377" ht="12.5"/>
    <row r="378" ht="12.5"/>
    <row r="379" ht="12.5"/>
    <row r="380" ht="12.5"/>
    <row r="381" ht="12.5"/>
    <row r="382" ht="12.5"/>
    <row r="383" ht="12.5"/>
    <row r="384" ht="12.5"/>
    <row r="385" ht="12.5"/>
    <row r="386" ht="12.5"/>
    <row r="387" ht="12.5"/>
    <row r="388" ht="12.5"/>
    <row r="389" ht="12.5"/>
    <row r="390" ht="12.5"/>
    <row r="391" ht="12.5"/>
    <row r="392" ht="12.5"/>
    <row r="393" ht="12.5"/>
    <row r="394" ht="12.5"/>
    <row r="395" ht="12.5"/>
    <row r="396" ht="12.5"/>
    <row r="397" ht="12.5"/>
    <row r="398" ht="12.5"/>
    <row r="399" ht="12.5"/>
    <row r="400" ht="12.5"/>
    <row r="401" ht="12.5"/>
    <row r="402" ht="12.5"/>
    <row r="403" ht="12.5"/>
    <row r="404" ht="12.5"/>
    <row r="405" ht="12.5"/>
    <row r="406" ht="12.5"/>
    <row r="407" ht="12.5"/>
    <row r="408" ht="12.5"/>
    <row r="409" ht="12.5"/>
    <row r="410" ht="12.5"/>
    <row r="411" ht="12.5"/>
    <row r="412" ht="12.5"/>
    <row r="413" ht="12.5"/>
    <row r="414" ht="12.5"/>
    <row r="415" ht="12.5"/>
    <row r="416" ht="12.5"/>
    <row r="417" ht="12.5"/>
    <row r="418" ht="12.5"/>
    <row r="419" ht="12.5"/>
    <row r="420" ht="12.5"/>
    <row r="421" ht="12.5"/>
    <row r="422" ht="12.5"/>
    <row r="423" ht="12.5"/>
    <row r="424" ht="12.5"/>
    <row r="425" ht="12.5"/>
    <row r="426" ht="12.5"/>
    <row r="427" ht="12.5"/>
    <row r="428" ht="12.5"/>
    <row r="429" ht="12.5"/>
    <row r="430" ht="12.5"/>
    <row r="431" ht="12.5"/>
    <row r="432" ht="12.5"/>
    <row r="433" ht="12.5"/>
    <row r="434" ht="12.5"/>
    <row r="435" ht="12.5"/>
    <row r="436" ht="12.5"/>
    <row r="437" ht="12.5"/>
    <row r="438" ht="12.5"/>
    <row r="439" ht="12.5"/>
    <row r="440" ht="12.5"/>
    <row r="441" ht="12.5"/>
    <row r="442" ht="12.5"/>
    <row r="443" ht="12.5"/>
    <row r="444" ht="12.5"/>
    <row r="445" ht="12.5"/>
    <row r="446" ht="12.5"/>
    <row r="447" ht="12.5"/>
    <row r="448" ht="12.5"/>
    <row r="449" ht="12.5"/>
    <row r="450" ht="12.5"/>
    <row r="451" ht="12.5"/>
    <row r="452" ht="12.5"/>
    <row r="453" ht="12.5"/>
    <row r="454" ht="12.5"/>
    <row r="455" ht="12.5"/>
    <row r="456" ht="12.5"/>
    <row r="457" ht="12.5"/>
    <row r="458" ht="12.5"/>
    <row r="459" ht="12.5"/>
    <row r="460" ht="12.5"/>
    <row r="461" ht="12.5"/>
    <row r="462" ht="12.5"/>
    <row r="463" ht="12.5"/>
    <row r="464" ht="12.5"/>
    <row r="465" ht="12.5"/>
    <row r="466" ht="12.5"/>
    <row r="467" ht="12.5"/>
    <row r="468" ht="12.5"/>
    <row r="469" ht="12.5"/>
    <row r="470" ht="12.5"/>
    <row r="471" ht="12.5"/>
    <row r="472" ht="12.5"/>
    <row r="473" ht="12.5"/>
    <row r="474" ht="12.5"/>
    <row r="475" ht="12.5"/>
    <row r="476" ht="12.5"/>
    <row r="477" ht="12.5"/>
    <row r="478" ht="12.5"/>
    <row r="479" ht="12.5"/>
    <row r="480" ht="12.5"/>
    <row r="481" ht="12.5"/>
    <row r="482" ht="12.5"/>
    <row r="483" ht="12.5"/>
    <row r="484" ht="12.5"/>
    <row r="485" ht="12.5"/>
    <row r="486" ht="12.5"/>
    <row r="487" ht="12.5"/>
    <row r="488" ht="12.5"/>
    <row r="489" ht="12.5"/>
    <row r="490" ht="12.5"/>
    <row r="491" ht="12.5"/>
    <row r="492" ht="12.5"/>
    <row r="493" ht="12.5"/>
    <row r="494" ht="12.5"/>
    <row r="495" ht="12.5"/>
    <row r="496" ht="12.5"/>
    <row r="497" ht="12.5"/>
    <row r="498" ht="12.5"/>
    <row r="499" ht="12.5"/>
    <row r="500" ht="12.5"/>
    <row r="501" ht="12.5"/>
    <row r="502" ht="12.5"/>
    <row r="503" ht="12.5"/>
    <row r="504" ht="12.5"/>
    <row r="505" ht="12.5"/>
    <row r="506" ht="12.5"/>
    <row r="507" ht="12.5"/>
    <row r="508" ht="12.5"/>
    <row r="509" ht="12.5"/>
    <row r="510" ht="12.5"/>
    <row r="511" ht="12.5"/>
    <row r="512" ht="12.5"/>
    <row r="513" ht="12.5"/>
    <row r="514" ht="12.5"/>
    <row r="515" ht="12.5"/>
    <row r="516" ht="12.5"/>
    <row r="517" ht="12.5"/>
    <row r="518" ht="12.5"/>
    <row r="519" ht="12.5"/>
    <row r="520" ht="12.5"/>
    <row r="521" ht="12.5"/>
    <row r="522" ht="12.5"/>
    <row r="523" ht="12.5"/>
    <row r="524" ht="12.5"/>
    <row r="525" ht="12.5"/>
    <row r="526" ht="12.5"/>
    <row r="527" ht="12.5"/>
    <row r="528" ht="12.5"/>
    <row r="529" ht="12.5"/>
    <row r="530" ht="12.5"/>
    <row r="531" ht="12.5"/>
    <row r="532" ht="12.5"/>
    <row r="533" ht="12.5"/>
    <row r="534" ht="12.5"/>
    <row r="535" ht="12.5"/>
    <row r="536" ht="12.5"/>
    <row r="537" ht="12.5"/>
    <row r="538" ht="12.5"/>
    <row r="539" ht="12.5"/>
    <row r="540" ht="12.5"/>
    <row r="541" ht="12.5"/>
    <row r="542" ht="12.5"/>
    <row r="543" ht="12.5"/>
    <row r="544" ht="12.5"/>
    <row r="545" ht="12.5"/>
    <row r="546" ht="12.5"/>
    <row r="547" ht="12.5"/>
    <row r="548" ht="12.5"/>
    <row r="549" ht="12.5"/>
    <row r="550" ht="12.5"/>
    <row r="551" ht="12.5"/>
    <row r="552" ht="12.5"/>
    <row r="553" ht="12.5"/>
    <row r="554" ht="12.5"/>
    <row r="555" ht="12.5"/>
    <row r="556" ht="12.5"/>
    <row r="557" ht="12.5"/>
    <row r="558" ht="12.5"/>
    <row r="559" ht="12.5"/>
    <row r="560" ht="12.5"/>
    <row r="561" ht="12.5"/>
    <row r="562" ht="12.5"/>
    <row r="563" ht="12.5"/>
    <row r="564" ht="12.5"/>
    <row r="565" ht="12.5"/>
    <row r="566" ht="12.5"/>
    <row r="567" ht="12.5"/>
    <row r="568" ht="12.5"/>
    <row r="569" ht="12.5"/>
    <row r="570" ht="12.5"/>
    <row r="571" ht="12.5"/>
    <row r="572" ht="12.5"/>
    <row r="573" ht="12.5"/>
    <row r="574" ht="12.5"/>
    <row r="575" ht="12.5"/>
    <row r="576" ht="12.5"/>
    <row r="577" ht="12.5"/>
    <row r="578" ht="12.5"/>
    <row r="579" ht="12.5"/>
    <row r="580" ht="12.5"/>
    <row r="581" ht="12.5"/>
    <row r="582" ht="12.5"/>
    <row r="583" ht="12.5"/>
    <row r="584" ht="12.5"/>
    <row r="585" ht="12.5"/>
    <row r="586" ht="12.5"/>
    <row r="587" ht="12.5"/>
    <row r="588" ht="12.5"/>
    <row r="589" ht="12.5"/>
    <row r="590" ht="12.5"/>
    <row r="591" ht="12.5"/>
    <row r="592" ht="12.5"/>
    <row r="593" ht="12.5"/>
    <row r="594" ht="12.5"/>
    <row r="595" ht="12.5"/>
    <row r="596" ht="12.5"/>
    <row r="597" ht="12.5"/>
    <row r="598" ht="12.5"/>
    <row r="599" ht="12.5"/>
    <row r="600" ht="12.5"/>
    <row r="601" ht="12.5"/>
    <row r="602" ht="12.5"/>
    <row r="603" ht="12.5"/>
    <row r="604" ht="12.5"/>
    <row r="605" ht="12.5"/>
    <row r="606" ht="12.5"/>
    <row r="607" ht="12.5"/>
    <row r="608" ht="12.5"/>
    <row r="609" ht="12.5"/>
    <row r="610" ht="12.5"/>
    <row r="611" ht="12.5"/>
    <row r="612" ht="12.5"/>
    <row r="613" ht="12.5"/>
    <row r="614" ht="12.5"/>
    <row r="615" ht="12.5"/>
    <row r="616" ht="12.5"/>
    <row r="617" ht="12.5"/>
    <row r="618" ht="12.5"/>
    <row r="619" ht="12.5"/>
    <row r="620" ht="12.5"/>
    <row r="621" ht="12.5"/>
    <row r="622" ht="12.5"/>
    <row r="623" ht="12.5"/>
    <row r="624" ht="12.5"/>
    <row r="625" ht="12.5"/>
    <row r="626" ht="12.5"/>
    <row r="627" ht="12.5"/>
    <row r="628" ht="12.5"/>
    <row r="629" ht="12.5"/>
    <row r="630" ht="12.5"/>
    <row r="631" ht="12.5"/>
    <row r="632" ht="12.5"/>
    <row r="633" ht="12.5"/>
    <row r="634" ht="12.5"/>
    <row r="635" ht="12.5"/>
    <row r="636" ht="12.5"/>
    <row r="637" ht="12.5"/>
    <row r="638" ht="12.5"/>
    <row r="639" ht="12.5"/>
    <row r="640" ht="12.5"/>
    <row r="641" ht="12.5"/>
    <row r="642" ht="12.5"/>
    <row r="643" ht="12.5"/>
    <row r="644" ht="12.5"/>
    <row r="645" ht="12.5"/>
    <row r="646" ht="12.5"/>
    <row r="647" ht="12.5"/>
    <row r="648" ht="12.5"/>
    <row r="649" ht="12.5"/>
    <row r="650" ht="12.5"/>
    <row r="651" ht="12.5"/>
    <row r="652" ht="12.5"/>
    <row r="653" ht="12.5"/>
    <row r="654" ht="12.5"/>
    <row r="655" ht="12.5"/>
    <row r="656" ht="12.5"/>
    <row r="657" ht="12.5"/>
    <row r="658" ht="12.5"/>
    <row r="659" ht="12.5"/>
    <row r="660" ht="12.5"/>
    <row r="661" ht="12.5"/>
    <row r="662" ht="12.5"/>
    <row r="663" ht="12.5"/>
    <row r="664" ht="12.5"/>
    <row r="665" ht="12.5"/>
    <row r="666" ht="12.5"/>
    <row r="667" ht="12.5"/>
    <row r="668" ht="12.5"/>
    <row r="669" ht="12.5"/>
    <row r="670" ht="12.5"/>
    <row r="671" ht="12.5"/>
    <row r="672" ht="12.5"/>
    <row r="673" ht="12.5"/>
    <row r="674" ht="12.5"/>
    <row r="675" ht="12.5"/>
    <row r="676" ht="12.5"/>
    <row r="677" ht="12.5"/>
    <row r="678" ht="12.5"/>
    <row r="679" ht="12.5"/>
    <row r="680" ht="12.5"/>
    <row r="681" ht="12.5"/>
    <row r="682" ht="12.5"/>
    <row r="683" ht="12.5"/>
    <row r="684" ht="12.5"/>
    <row r="685" ht="12.5"/>
    <row r="686" ht="12.5"/>
    <row r="687" ht="12.5"/>
    <row r="688" ht="12.5"/>
    <row r="689" ht="12.5"/>
    <row r="690" ht="12.5"/>
    <row r="691" ht="12.5"/>
    <row r="692" ht="12.5"/>
    <row r="693" ht="12.5"/>
    <row r="694" ht="12.5"/>
    <row r="695" ht="12.5"/>
    <row r="696" ht="12.5"/>
    <row r="697" ht="12.5"/>
    <row r="698" ht="12.5"/>
    <row r="699" ht="12.5"/>
    <row r="700" ht="12.5"/>
    <row r="701" ht="12.5"/>
    <row r="702" ht="12.5"/>
    <row r="703" ht="12.5"/>
    <row r="704" ht="12.5"/>
    <row r="705" ht="12.5"/>
    <row r="706" ht="12.5"/>
    <row r="707" ht="12.5"/>
    <row r="708" ht="12.5"/>
    <row r="709" ht="12.5"/>
    <row r="710" ht="12.5"/>
    <row r="711" ht="12.5"/>
    <row r="712" ht="12.5"/>
    <row r="713" ht="12.5"/>
    <row r="714" ht="12.5"/>
    <row r="715" ht="12.5"/>
    <row r="716" ht="12.5"/>
    <row r="717" ht="12.5"/>
    <row r="718" ht="12.5"/>
    <row r="719" ht="12.5"/>
    <row r="720" ht="12.5"/>
    <row r="721" ht="12.5"/>
    <row r="722" ht="12.5"/>
    <row r="723" ht="12.5"/>
    <row r="724" ht="12.5"/>
    <row r="725" ht="12.5"/>
    <row r="726" ht="12.5"/>
    <row r="727" ht="12.5"/>
    <row r="728" ht="12.5"/>
    <row r="729" ht="12.5"/>
    <row r="730" ht="12.5"/>
    <row r="731" ht="12.5"/>
    <row r="732" ht="12.5"/>
    <row r="733" ht="12.5"/>
    <row r="734" ht="12.5"/>
    <row r="735" ht="12.5"/>
    <row r="736" ht="12.5"/>
    <row r="737" ht="12.5"/>
    <row r="738" ht="12.5"/>
    <row r="739" ht="12.5"/>
    <row r="740" ht="12.5"/>
    <row r="741" ht="12.5"/>
    <row r="742" ht="12.5"/>
    <row r="743" ht="12.5"/>
    <row r="744" ht="12.5"/>
    <row r="745" ht="12.5"/>
    <row r="746" ht="12.5"/>
    <row r="747" ht="12.5"/>
    <row r="748" ht="12.5"/>
    <row r="749" ht="12.5"/>
    <row r="750" ht="12.5"/>
    <row r="751" ht="12.5"/>
    <row r="752" ht="12.5"/>
    <row r="753" ht="12.5"/>
    <row r="754" ht="12.5"/>
    <row r="755" ht="12.5"/>
    <row r="756" ht="12.5"/>
    <row r="757" ht="12.5"/>
    <row r="758" ht="12.5"/>
    <row r="759" ht="12.5"/>
    <row r="760" ht="12.5"/>
    <row r="761" ht="12.5"/>
    <row r="762" ht="12.5"/>
    <row r="763" ht="12.5"/>
    <row r="764" ht="12.5"/>
    <row r="765" ht="12.5"/>
    <row r="766" ht="12.5"/>
    <row r="767" ht="12.5"/>
    <row r="768" ht="12.5"/>
    <row r="769" ht="12.5"/>
    <row r="770" ht="12.5"/>
    <row r="771" ht="12.5"/>
    <row r="772" ht="12.5"/>
    <row r="773" ht="12.5"/>
    <row r="774" ht="12.5"/>
    <row r="775" ht="12.5"/>
    <row r="776" ht="12.5"/>
    <row r="777" ht="12.5"/>
    <row r="778" ht="12.5"/>
    <row r="779" ht="12.5"/>
    <row r="780" ht="12.5"/>
    <row r="781" ht="12.5"/>
    <row r="782" ht="12.5"/>
    <row r="783" ht="12.5"/>
    <row r="784" ht="12.5"/>
    <row r="785" ht="12.5"/>
    <row r="786" ht="12.5"/>
    <row r="787" ht="12.5"/>
    <row r="788" ht="12.5"/>
    <row r="789" ht="12.5"/>
    <row r="790" ht="12.5"/>
    <row r="791" ht="12.5"/>
    <row r="792" ht="12.5"/>
    <row r="793" ht="12.5"/>
    <row r="794" ht="12.5"/>
    <row r="795" ht="12.5"/>
    <row r="796" ht="12.5"/>
    <row r="797" ht="12.5"/>
    <row r="798" ht="12.5"/>
    <row r="799" ht="12.5"/>
    <row r="800" ht="12.5"/>
    <row r="801" ht="12.5"/>
    <row r="802" ht="12.5"/>
    <row r="803" ht="12.5"/>
    <row r="804" ht="12.5"/>
    <row r="805" ht="12.5"/>
    <row r="806" ht="12.5"/>
    <row r="807" ht="12.5"/>
    <row r="808" ht="12.5"/>
    <row r="809" ht="12.5"/>
    <row r="810" ht="12.5"/>
    <row r="811" ht="12.5"/>
    <row r="812" ht="12.5"/>
    <row r="813" ht="12.5"/>
    <row r="814" ht="12.5"/>
    <row r="815" ht="12.5"/>
    <row r="816" ht="12.5"/>
    <row r="817" ht="12.5"/>
    <row r="818" ht="12.5"/>
    <row r="819" ht="12.5"/>
    <row r="820" ht="12.5"/>
    <row r="821" ht="12.5"/>
    <row r="822" ht="12.5"/>
    <row r="823" ht="12.5"/>
    <row r="824" ht="12.5"/>
    <row r="825" ht="12.5"/>
    <row r="826" ht="12.5"/>
    <row r="827" ht="12.5"/>
    <row r="828" ht="12.5"/>
    <row r="829" ht="12.5"/>
    <row r="830" ht="12.5"/>
    <row r="831" ht="12.5"/>
    <row r="832" ht="12.5"/>
    <row r="833" ht="12.5"/>
    <row r="834" ht="12.5"/>
    <row r="835" ht="12.5"/>
    <row r="836" ht="12.5"/>
    <row r="837" ht="12.5"/>
    <row r="838" ht="12.5"/>
    <row r="839" ht="12.5"/>
    <row r="840" ht="12.5"/>
    <row r="841" ht="12.5"/>
    <row r="842" ht="12.5"/>
    <row r="843" ht="12.5"/>
    <row r="844" ht="12.5"/>
    <row r="845" ht="12.5"/>
    <row r="846" ht="12.5"/>
    <row r="847" ht="12.5"/>
    <row r="848" ht="12.5"/>
    <row r="849" ht="12.5"/>
    <row r="850" ht="12.5"/>
    <row r="851" ht="12.5"/>
    <row r="852" ht="12.5"/>
    <row r="853" ht="12.5"/>
    <row r="854" ht="12.5"/>
    <row r="855" ht="12.5"/>
    <row r="856" ht="12.5"/>
    <row r="857" ht="12.5"/>
    <row r="858" ht="12.5"/>
    <row r="859" ht="12.5"/>
    <row r="860" ht="12.5"/>
    <row r="861" ht="12.5"/>
    <row r="862" ht="12.5"/>
    <row r="863" ht="12.5"/>
    <row r="864" ht="12.5"/>
    <row r="865" ht="12.5"/>
    <row r="866" ht="12.5"/>
    <row r="867" ht="12.5"/>
    <row r="868" ht="12.5"/>
    <row r="869" ht="12.5"/>
    <row r="870" ht="12.5"/>
    <row r="871" ht="12.5"/>
    <row r="872" ht="12.5"/>
    <row r="873" ht="12.5"/>
    <row r="874" ht="12.5"/>
    <row r="875" ht="12.5"/>
    <row r="876" ht="12.5"/>
    <row r="877" ht="12.5"/>
    <row r="878" ht="12.5"/>
    <row r="879" ht="12.5"/>
    <row r="880" ht="12.5"/>
    <row r="881" ht="12.5"/>
    <row r="882" ht="12.5"/>
    <row r="883" ht="12.5"/>
    <row r="884" ht="12.5"/>
    <row r="885" ht="12.5"/>
    <row r="886" ht="12.5"/>
    <row r="887" ht="12.5"/>
    <row r="888" ht="12.5"/>
    <row r="889" ht="12.5"/>
    <row r="890" ht="12.5"/>
    <row r="891" ht="12.5"/>
    <row r="892" ht="12.5"/>
    <row r="893" ht="12.5"/>
    <row r="894" ht="12.5"/>
    <row r="895" ht="12.5"/>
    <row r="896" ht="12.5"/>
    <row r="897" ht="12.5"/>
    <row r="898" ht="12.5"/>
    <row r="899" ht="12.5"/>
    <row r="900" ht="12.5"/>
    <row r="901" ht="12.5"/>
    <row r="902" ht="12.5"/>
    <row r="903" ht="12.5"/>
    <row r="904" ht="12.5"/>
    <row r="905" ht="12.5"/>
    <row r="906" ht="12.5"/>
    <row r="907" ht="12.5"/>
    <row r="908" ht="12.5"/>
    <row r="909" ht="12.5"/>
    <row r="910" ht="12.5"/>
    <row r="911" ht="12.5"/>
    <row r="912" ht="12.5"/>
    <row r="913" ht="12.5"/>
    <row r="914" ht="12.5"/>
    <row r="915" ht="12.5"/>
    <row r="916" ht="12.5"/>
    <row r="917" ht="12.5"/>
    <row r="918" ht="12.5"/>
    <row r="919" ht="12.5"/>
    <row r="920" ht="12.5"/>
    <row r="921" ht="12.5"/>
    <row r="922" ht="12.5"/>
    <row r="923" ht="12.5"/>
    <row r="924" ht="12.5"/>
    <row r="925" ht="12.5"/>
    <row r="926" ht="12.5"/>
    <row r="927" ht="12.5"/>
    <row r="928" ht="12.5"/>
    <row r="929" ht="12.5"/>
    <row r="930" ht="12.5"/>
    <row r="931" ht="12.5"/>
    <row r="932" ht="12.5"/>
    <row r="933" ht="12.5"/>
    <row r="934" ht="12.5"/>
    <row r="935" ht="12.5"/>
    <row r="936" ht="12.5"/>
    <row r="937" ht="12.5"/>
    <row r="938" ht="12.5"/>
    <row r="939" ht="12.5"/>
    <row r="940" ht="12.5"/>
    <row r="941" ht="12.5"/>
    <row r="942" ht="12.5"/>
    <row r="943" ht="12.5"/>
    <row r="944" ht="12.5"/>
    <row r="945" ht="12.5"/>
    <row r="946" ht="12.5"/>
    <row r="947" ht="12.5"/>
    <row r="948" ht="12.5"/>
    <row r="949" ht="12.5"/>
    <row r="950" ht="12.5"/>
    <row r="951" ht="12.5"/>
    <row r="952" ht="12.5"/>
    <row r="953" ht="12.5"/>
    <row r="954" ht="12.5"/>
    <row r="955" ht="12.5"/>
    <row r="956" ht="12.5"/>
    <row r="957" ht="12.5"/>
    <row r="958" ht="12.5"/>
    <row r="959" ht="12.5"/>
    <row r="960" ht="12.5"/>
    <row r="961" ht="12.5"/>
    <row r="962" ht="12.5"/>
    <row r="963" ht="12.5"/>
    <row r="964" ht="12.5"/>
    <row r="965" ht="12.5"/>
    <row r="966" ht="12.5"/>
    <row r="967" ht="12.5"/>
    <row r="968" ht="12.5"/>
    <row r="969" ht="12.5"/>
    <row r="970" ht="12.5"/>
    <row r="971" ht="12.5"/>
    <row r="972" ht="12.5"/>
    <row r="973" ht="12.5"/>
    <row r="974" ht="12.5"/>
    <row r="975" ht="12.5"/>
    <row r="976" ht="12.5"/>
    <row r="977" ht="12.5"/>
    <row r="978" ht="12.5"/>
    <row r="979" ht="12.5"/>
    <row r="980" ht="12.5"/>
    <row r="981" ht="12.5"/>
    <row r="982" ht="12.5"/>
    <row r="983" ht="12.5"/>
    <row r="984" ht="12.5"/>
    <row r="985" ht="12.5"/>
    <row r="986" ht="12.5"/>
    <row r="987" ht="12.5"/>
    <row r="988" ht="12.5"/>
    <row r="989" ht="12.5"/>
    <row r="990" ht="12.5"/>
    <row r="991" ht="12.5"/>
    <row r="992" ht="12.5"/>
    <row r="993" ht="12.5"/>
    <row r="994" ht="12.5"/>
    <row r="995" ht="12.5"/>
    <row r="996" ht="12.5"/>
    <row r="997" ht="12.5"/>
    <row r="998" ht="12.5"/>
    <row r="999" ht="12.5"/>
    <row r="1000" ht="12.5"/>
  </sheetData>
  <mergeCells count="21">
    <mergeCell ref="B31:D31"/>
    <mergeCell ref="B32:D32"/>
    <mergeCell ref="B33:D33"/>
    <mergeCell ref="B34:D34"/>
    <mergeCell ref="A12:D12"/>
    <mergeCell ref="B13:D13"/>
    <mergeCell ref="B14:D14"/>
    <mergeCell ref="B15:D15"/>
    <mergeCell ref="B16:D16"/>
    <mergeCell ref="B17:D17"/>
    <mergeCell ref="A20:F20"/>
    <mergeCell ref="B9:D9"/>
    <mergeCell ref="B10:D10"/>
    <mergeCell ref="B18:D18"/>
    <mergeCell ref="A29:D29"/>
    <mergeCell ref="B30:D30"/>
    <mergeCell ref="A4:D4"/>
    <mergeCell ref="B5:D5"/>
    <mergeCell ref="B6:D6"/>
    <mergeCell ref="B7:D7"/>
    <mergeCell ref="B8:D8"/>
  </mergeCell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16"/>
  <sheetViews>
    <sheetView tabSelected="1" workbookViewId="0">
      <selection activeCell="B6" sqref="B6"/>
    </sheetView>
  </sheetViews>
  <sheetFormatPr defaultColWidth="12.6328125" defaultRowHeight="15.75" customHeight="1"/>
  <sheetData>
    <row r="1" spans="1:2" ht="15.75" customHeight="1">
      <c r="A1" s="1" t="s">
        <v>1</v>
      </c>
    </row>
    <row r="2" spans="1:2" ht="15.75" customHeight="1">
      <c r="A2" s="3" t="s">
        <v>2</v>
      </c>
      <c r="B2" s="1" t="s">
        <v>4</v>
      </c>
    </row>
    <row r="3" spans="1:2" ht="15.75" customHeight="1">
      <c r="A3" s="3" t="s">
        <v>5</v>
      </c>
      <c r="B3" s="1" t="s">
        <v>10</v>
      </c>
    </row>
    <row r="4" spans="1:2" ht="15.75" customHeight="1">
      <c r="A4" s="3" t="s">
        <v>8</v>
      </c>
      <c r="B4" s="1" t="s">
        <v>10</v>
      </c>
    </row>
    <row r="5" spans="1:2" ht="15.75" customHeight="1">
      <c r="A5" s="3" t="s">
        <v>9</v>
      </c>
      <c r="B5" s="1" t="s">
        <v>6</v>
      </c>
    </row>
    <row r="6" spans="1:2" ht="15.75" customHeight="1">
      <c r="A6" s="3" t="s">
        <v>11</v>
      </c>
      <c r="B6" s="1" t="s">
        <v>6</v>
      </c>
    </row>
    <row r="7" spans="1:2" ht="15.75" customHeight="1">
      <c r="A7" s="3" t="s">
        <v>12</v>
      </c>
      <c r="B7" s="1" t="s">
        <v>4</v>
      </c>
    </row>
    <row r="9" spans="1:2" ht="15.75" customHeight="1">
      <c r="A9" s="5" t="s">
        <v>14</v>
      </c>
    </row>
    <row r="10" spans="1:2">
      <c r="A10" s="6" t="s">
        <v>15</v>
      </c>
    </row>
    <row r="11" spans="1:2">
      <c r="A11" s="6"/>
    </row>
    <row r="12" spans="1:2">
      <c r="A12" s="6" t="s">
        <v>16</v>
      </c>
    </row>
    <row r="13" spans="1:2">
      <c r="A13" s="6"/>
    </row>
    <row r="14" spans="1:2">
      <c r="A14" s="6" t="s">
        <v>18</v>
      </c>
    </row>
    <row r="15" spans="1:2">
      <c r="A15" s="6"/>
    </row>
    <row r="16" spans="1:2">
      <c r="A16" s="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1000"/>
  <sheetViews>
    <sheetView workbookViewId="0">
      <pane xSplit="4" ySplit="5" topLeftCell="E6" activePane="bottomRight" state="frozen"/>
      <selection pane="topRight" activeCell="E1" sqref="E1"/>
      <selection pane="bottomLeft" activeCell="A6" sqref="A6"/>
      <selection pane="bottomRight" activeCell="E6" sqref="E6"/>
    </sheetView>
  </sheetViews>
  <sheetFormatPr defaultColWidth="12.6328125" defaultRowHeight="15.75" customHeight="1"/>
  <cols>
    <col min="1" max="1" width="8.7265625" customWidth="1"/>
    <col min="2" max="2" width="21" customWidth="1"/>
    <col min="3" max="3" width="38.453125" customWidth="1"/>
    <col min="4" max="4" width="28" customWidth="1"/>
    <col min="5" max="6" width="15.7265625" customWidth="1"/>
    <col min="7" max="7" width="11.36328125" customWidth="1"/>
    <col min="8" max="8" width="12.26953125" customWidth="1"/>
    <col min="9" max="9" width="13.08984375" customWidth="1"/>
    <col min="10" max="10" width="10.453125" customWidth="1"/>
    <col min="11" max="11" width="15.7265625" customWidth="1"/>
    <col min="12" max="12" width="26.26953125" customWidth="1"/>
    <col min="13" max="33" width="4.7265625" customWidth="1"/>
  </cols>
  <sheetData>
    <row r="1" spans="1:33" ht="30" customHeight="1">
      <c r="A1" s="51" t="s">
        <v>22</v>
      </c>
      <c r="B1" s="37"/>
      <c r="C1" s="37"/>
      <c r="D1" s="37"/>
      <c r="E1" s="37"/>
      <c r="F1" s="37"/>
      <c r="G1" s="37"/>
      <c r="H1" s="37"/>
      <c r="I1" s="37"/>
      <c r="J1" s="37"/>
      <c r="K1" s="37"/>
      <c r="L1" s="37"/>
      <c r="M1" s="37"/>
      <c r="N1" s="37"/>
      <c r="O1" s="37"/>
      <c r="P1" s="37"/>
      <c r="Q1" s="37"/>
      <c r="R1" s="37"/>
      <c r="S1" s="37"/>
      <c r="T1" s="37"/>
      <c r="U1" s="37"/>
      <c r="V1" s="37"/>
      <c r="W1" s="37"/>
      <c r="X1" s="37"/>
      <c r="Y1" s="37"/>
      <c r="Z1" s="37"/>
      <c r="AA1" s="37"/>
      <c r="AB1" s="37"/>
      <c r="AC1" s="37"/>
      <c r="AD1" s="37"/>
      <c r="AE1" s="37"/>
      <c r="AF1" s="37"/>
      <c r="AG1" s="38"/>
    </row>
    <row r="2" spans="1:33" ht="19.5" customHeight="1">
      <c r="A2" s="52" t="s">
        <v>32</v>
      </c>
      <c r="B2" s="37"/>
      <c r="C2" s="37"/>
      <c r="D2" s="37"/>
      <c r="E2" s="37"/>
      <c r="F2" s="37"/>
      <c r="G2" s="37"/>
      <c r="H2" s="37"/>
      <c r="I2" s="37"/>
      <c r="J2" s="37"/>
      <c r="K2" s="37"/>
      <c r="L2" s="37"/>
      <c r="M2" s="37"/>
      <c r="N2" s="37"/>
      <c r="O2" s="37"/>
      <c r="P2" s="37"/>
      <c r="Q2" s="37"/>
      <c r="R2" s="37"/>
      <c r="S2" s="37"/>
      <c r="T2" s="37"/>
      <c r="U2" s="37"/>
      <c r="V2" s="37"/>
      <c r="W2" s="37"/>
      <c r="X2" s="37"/>
      <c r="Y2" s="37"/>
      <c r="Z2" s="37"/>
      <c r="AA2" s="37"/>
      <c r="AB2" s="37"/>
      <c r="AC2" s="37"/>
      <c r="AD2" s="37"/>
      <c r="AE2" s="37"/>
      <c r="AF2" s="37"/>
      <c r="AG2" s="38"/>
    </row>
    <row r="4" spans="1:33" ht="19.5" customHeight="1">
      <c r="A4" s="47" t="s">
        <v>35</v>
      </c>
      <c r="B4" s="37"/>
      <c r="C4" s="37"/>
      <c r="D4" s="37"/>
      <c r="E4" s="37"/>
      <c r="F4" s="37"/>
      <c r="G4" s="37"/>
      <c r="H4" s="37"/>
      <c r="I4" s="37"/>
      <c r="J4" s="37"/>
      <c r="K4" s="37"/>
      <c r="L4" s="38"/>
      <c r="M4" s="53" t="s">
        <v>43</v>
      </c>
      <c r="N4" s="37"/>
      <c r="O4" s="37"/>
      <c r="P4" s="38"/>
      <c r="Q4" s="47" t="s">
        <v>47</v>
      </c>
      <c r="R4" s="37"/>
      <c r="S4" s="37"/>
      <c r="T4" s="37"/>
      <c r="U4" s="37"/>
      <c r="V4" s="37"/>
      <c r="W4" s="38"/>
      <c r="X4" s="53" t="s">
        <v>48</v>
      </c>
      <c r="Y4" s="37"/>
      <c r="Z4" s="37"/>
      <c r="AA4" s="37"/>
      <c r="AB4" s="38"/>
      <c r="AC4" s="47" t="s">
        <v>51</v>
      </c>
      <c r="AD4" s="37"/>
      <c r="AE4" s="38"/>
      <c r="AF4" s="54" t="s">
        <v>54</v>
      </c>
      <c r="AG4" s="38"/>
    </row>
    <row r="5" spans="1:33" ht="27.75" customHeight="1">
      <c r="A5" s="9" t="s">
        <v>57</v>
      </c>
      <c r="B5" s="9" t="s">
        <v>58</v>
      </c>
      <c r="C5" s="9" t="s">
        <v>59</v>
      </c>
      <c r="D5" s="9" t="s">
        <v>60</v>
      </c>
      <c r="E5" s="9" t="s">
        <v>61</v>
      </c>
      <c r="F5" s="9" t="s">
        <v>62</v>
      </c>
      <c r="G5" s="9" t="s">
        <v>63</v>
      </c>
      <c r="H5" s="9" t="s">
        <v>64</v>
      </c>
      <c r="I5" s="9" t="s">
        <v>65</v>
      </c>
      <c r="J5" s="9" t="s">
        <v>66</v>
      </c>
      <c r="K5" s="9" t="s">
        <v>69</v>
      </c>
      <c r="L5" s="9" t="s">
        <v>70</v>
      </c>
      <c r="M5" s="9" t="s">
        <v>71</v>
      </c>
      <c r="N5" s="9" t="s">
        <v>72</v>
      </c>
      <c r="O5" s="9" t="s">
        <v>73</v>
      </c>
      <c r="P5" s="9" t="s">
        <v>74</v>
      </c>
      <c r="Q5" s="9" t="s">
        <v>75</v>
      </c>
      <c r="R5" s="9" t="s">
        <v>77</v>
      </c>
      <c r="S5" s="9" t="s">
        <v>78</v>
      </c>
      <c r="T5" s="9" t="s">
        <v>79</v>
      </c>
      <c r="U5" s="9" t="s">
        <v>80</v>
      </c>
      <c r="V5" s="9" t="s">
        <v>81</v>
      </c>
      <c r="W5" s="9" t="s">
        <v>82</v>
      </c>
      <c r="X5" s="9" t="s">
        <v>84</v>
      </c>
      <c r="Y5" s="9" t="s">
        <v>85</v>
      </c>
      <c r="Z5" s="9" t="s">
        <v>86</v>
      </c>
      <c r="AA5" s="9" t="s">
        <v>87</v>
      </c>
      <c r="AB5" s="9" t="s">
        <v>89</v>
      </c>
      <c r="AC5" s="9" t="s">
        <v>90</v>
      </c>
      <c r="AD5" s="9" t="s">
        <v>91</v>
      </c>
      <c r="AE5" s="9" t="s">
        <v>92</v>
      </c>
      <c r="AF5" s="9" t="s">
        <v>93</v>
      </c>
      <c r="AG5" s="9" t="s">
        <v>94</v>
      </c>
    </row>
    <row r="6" spans="1:33" ht="37.5" customHeight="1">
      <c r="A6" s="10" t="s">
        <v>96</v>
      </c>
      <c r="B6" s="11" t="s">
        <v>97</v>
      </c>
      <c r="C6" s="12" t="s">
        <v>101</v>
      </c>
      <c r="D6" s="12" t="s">
        <v>103</v>
      </c>
      <c r="E6" s="13" t="s">
        <v>107</v>
      </c>
      <c r="F6" s="13" t="s">
        <v>111</v>
      </c>
      <c r="G6" s="13">
        <v>1</v>
      </c>
      <c r="H6" s="13">
        <v>1</v>
      </c>
      <c r="I6" s="13" t="s">
        <v>124</v>
      </c>
      <c r="J6" s="24">
        <v>0.5</v>
      </c>
      <c r="K6" s="13"/>
      <c r="L6" s="12" t="s">
        <v>132</v>
      </c>
      <c r="M6" s="28" t="b">
        <v>0</v>
      </c>
      <c r="N6" s="29"/>
      <c r="O6" s="29"/>
      <c r="P6" s="29"/>
      <c r="Q6" s="29"/>
      <c r="R6" s="29"/>
      <c r="S6" s="29"/>
      <c r="T6" s="29"/>
      <c r="U6" s="29"/>
      <c r="V6" s="29"/>
      <c r="W6" s="29"/>
      <c r="X6" s="29"/>
      <c r="Y6" s="29"/>
      <c r="Z6" s="29"/>
      <c r="AA6" s="29"/>
      <c r="AB6" s="29"/>
      <c r="AC6" s="29"/>
      <c r="AD6" s="29"/>
      <c r="AE6" s="29"/>
      <c r="AF6" s="29"/>
      <c r="AG6" s="29"/>
    </row>
    <row r="7" spans="1:33" ht="24" customHeight="1">
      <c r="A7" s="14" t="s">
        <v>155</v>
      </c>
      <c r="B7" s="15" t="s">
        <v>97</v>
      </c>
      <c r="C7" s="16" t="s">
        <v>158</v>
      </c>
      <c r="D7" s="16" t="s">
        <v>165</v>
      </c>
      <c r="E7" s="17" t="s">
        <v>167</v>
      </c>
      <c r="F7" s="17" t="s">
        <v>28</v>
      </c>
      <c r="G7" s="17">
        <v>1</v>
      </c>
      <c r="H7" s="17">
        <v>1</v>
      </c>
      <c r="I7" s="17" t="s">
        <v>170</v>
      </c>
      <c r="J7" s="30">
        <v>0</v>
      </c>
      <c r="K7" s="17"/>
      <c r="L7" s="16" t="s">
        <v>176</v>
      </c>
      <c r="M7" s="28" t="b">
        <v>0</v>
      </c>
      <c r="N7" s="31"/>
      <c r="O7" s="31"/>
      <c r="P7" s="31"/>
      <c r="Q7" s="31"/>
      <c r="R7" s="31"/>
      <c r="S7" s="31"/>
      <c r="T7" s="31"/>
      <c r="U7" s="31"/>
      <c r="V7" s="31"/>
      <c r="W7" s="31"/>
      <c r="X7" s="31"/>
      <c r="Y7" s="31"/>
      <c r="Z7" s="31"/>
      <c r="AA7" s="31"/>
      <c r="AB7" s="31"/>
      <c r="AC7" s="31"/>
      <c r="AD7" s="31"/>
      <c r="AE7" s="31"/>
      <c r="AF7" s="31"/>
      <c r="AG7" s="31"/>
    </row>
    <row r="8" spans="1:33" ht="24" customHeight="1">
      <c r="A8" s="10" t="s">
        <v>183</v>
      </c>
      <c r="B8" s="11" t="s">
        <v>97</v>
      </c>
      <c r="C8" s="12" t="s">
        <v>184</v>
      </c>
      <c r="D8" s="12" t="s">
        <v>185</v>
      </c>
      <c r="E8" s="13" t="s">
        <v>186</v>
      </c>
      <c r="F8" s="13" t="s">
        <v>188</v>
      </c>
      <c r="G8" s="13">
        <v>1</v>
      </c>
      <c r="H8" s="13">
        <v>1</v>
      </c>
      <c r="I8" s="13" t="s">
        <v>170</v>
      </c>
      <c r="J8" s="24">
        <v>0</v>
      </c>
      <c r="K8" s="13"/>
      <c r="L8" s="12" t="s">
        <v>193</v>
      </c>
      <c r="M8" s="28" t="b">
        <v>0</v>
      </c>
      <c r="N8" s="29"/>
      <c r="O8" s="29"/>
      <c r="P8" s="29"/>
      <c r="Q8" s="29"/>
      <c r="R8" s="29"/>
      <c r="S8" s="29"/>
      <c r="T8" s="29"/>
      <c r="U8" s="29"/>
      <c r="V8" s="29"/>
      <c r="W8" s="29"/>
      <c r="X8" s="29"/>
      <c r="Y8" s="29"/>
      <c r="Z8" s="29"/>
      <c r="AA8" s="29"/>
      <c r="AB8" s="29"/>
      <c r="AC8" s="29"/>
      <c r="AD8" s="29"/>
      <c r="AE8" s="29"/>
      <c r="AF8" s="29"/>
      <c r="AG8" s="29"/>
    </row>
    <row r="9" spans="1:33" ht="24" customHeight="1">
      <c r="A9" s="14" t="s">
        <v>201</v>
      </c>
      <c r="B9" s="15" t="s">
        <v>203</v>
      </c>
      <c r="C9" s="16" t="s">
        <v>205</v>
      </c>
      <c r="D9" s="16" t="s">
        <v>207</v>
      </c>
      <c r="E9" s="17" t="s">
        <v>209</v>
      </c>
      <c r="F9" s="17" t="s">
        <v>211</v>
      </c>
      <c r="G9" s="17">
        <v>1</v>
      </c>
      <c r="H9" s="17">
        <v>2</v>
      </c>
      <c r="I9" s="17" t="s">
        <v>170</v>
      </c>
      <c r="J9" s="30">
        <v>0</v>
      </c>
      <c r="K9" s="17"/>
      <c r="L9" s="16" t="s">
        <v>217</v>
      </c>
      <c r="M9" s="28" t="b">
        <v>0</v>
      </c>
      <c r="N9" s="28" t="b">
        <v>0</v>
      </c>
      <c r="O9" s="31"/>
      <c r="P9" s="31"/>
      <c r="Q9" s="31"/>
      <c r="R9" s="31"/>
      <c r="S9" s="31"/>
      <c r="T9" s="31"/>
      <c r="U9" s="31"/>
      <c r="V9" s="31"/>
      <c r="W9" s="31"/>
      <c r="X9" s="31"/>
      <c r="Y9" s="31"/>
      <c r="Z9" s="31"/>
      <c r="AA9" s="31"/>
      <c r="AB9" s="31"/>
      <c r="AC9" s="31"/>
      <c r="AD9" s="31"/>
      <c r="AE9" s="31"/>
      <c r="AF9" s="31"/>
      <c r="AG9" s="31"/>
    </row>
    <row r="10" spans="1:33" ht="24" customHeight="1">
      <c r="A10" s="10" t="s">
        <v>232</v>
      </c>
      <c r="B10" s="11" t="s">
        <v>203</v>
      </c>
      <c r="C10" s="12" t="s">
        <v>234</v>
      </c>
      <c r="D10" s="12" t="s">
        <v>236</v>
      </c>
      <c r="E10" s="13" t="s">
        <v>126</v>
      </c>
      <c r="F10" s="13" t="s">
        <v>211</v>
      </c>
      <c r="G10" s="13">
        <v>2</v>
      </c>
      <c r="H10" s="13">
        <v>3</v>
      </c>
      <c r="I10" s="13" t="s">
        <v>170</v>
      </c>
      <c r="J10" s="24">
        <v>0</v>
      </c>
      <c r="K10" s="13"/>
      <c r="L10" s="12" t="s">
        <v>244</v>
      </c>
      <c r="M10" s="29"/>
      <c r="N10" s="28" t="b">
        <v>0</v>
      </c>
      <c r="O10" s="28" t="b">
        <v>0</v>
      </c>
      <c r="P10" s="29"/>
      <c r="Q10" s="29"/>
      <c r="R10" s="29"/>
      <c r="S10" s="29"/>
      <c r="T10" s="29"/>
      <c r="U10" s="29"/>
      <c r="V10" s="29"/>
      <c r="W10" s="29"/>
      <c r="X10" s="29"/>
      <c r="Y10" s="29"/>
      <c r="Z10" s="29"/>
      <c r="AA10" s="29"/>
      <c r="AB10" s="29"/>
      <c r="AC10" s="29"/>
      <c r="AD10" s="29"/>
      <c r="AE10" s="29"/>
      <c r="AF10" s="29"/>
      <c r="AG10" s="29"/>
    </row>
    <row r="11" spans="1:33" ht="24" customHeight="1">
      <c r="A11" s="14" t="s">
        <v>253</v>
      </c>
      <c r="B11" s="15" t="s">
        <v>203</v>
      </c>
      <c r="C11" s="16" t="s">
        <v>254</v>
      </c>
      <c r="D11" s="16" t="s">
        <v>255</v>
      </c>
      <c r="E11" s="17" t="s">
        <v>256</v>
      </c>
      <c r="F11" s="17" t="s">
        <v>211</v>
      </c>
      <c r="G11" s="17">
        <v>2</v>
      </c>
      <c r="H11" s="17">
        <v>4</v>
      </c>
      <c r="I11" s="17" t="s">
        <v>170</v>
      </c>
      <c r="J11" s="30">
        <v>0</v>
      </c>
      <c r="K11" s="17"/>
      <c r="L11" s="16" t="s">
        <v>257</v>
      </c>
      <c r="M11" s="31"/>
      <c r="N11" s="28" t="b">
        <v>0</v>
      </c>
      <c r="O11" s="28" t="b">
        <v>0</v>
      </c>
      <c r="P11" s="28" t="b">
        <v>0</v>
      </c>
      <c r="Q11" s="31"/>
      <c r="R11" s="31"/>
      <c r="S11" s="31"/>
      <c r="T11" s="31"/>
      <c r="U11" s="31"/>
      <c r="V11" s="31"/>
      <c r="W11" s="31"/>
      <c r="X11" s="31"/>
      <c r="Y11" s="31"/>
      <c r="Z11" s="31"/>
      <c r="AA11" s="31"/>
      <c r="AB11" s="31"/>
      <c r="AC11" s="31"/>
      <c r="AD11" s="31"/>
      <c r="AE11" s="31"/>
      <c r="AF11" s="31"/>
      <c r="AG11" s="31"/>
    </row>
    <row r="12" spans="1:33" ht="24" customHeight="1">
      <c r="A12" s="10" t="s">
        <v>258</v>
      </c>
      <c r="B12" s="11" t="s">
        <v>203</v>
      </c>
      <c r="C12" s="12" t="s">
        <v>259</v>
      </c>
      <c r="D12" s="12" t="s">
        <v>260</v>
      </c>
      <c r="E12" s="13" t="s">
        <v>209</v>
      </c>
      <c r="F12" s="13" t="s">
        <v>28</v>
      </c>
      <c r="G12" s="13">
        <v>4</v>
      </c>
      <c r="H12" s="13">
        <v>4</v>
      </c>
      <c r="I12" s="13" t="s">
        <v>170</v>
      </c>
      <c r="J12" s="24">
        <v>0</v>
      </c>
      <c r="K12" s="13"/>
      <c r="L12" s="12" t="s">
        <v>261</v>
      </c>
      <c r="M12" s="29"/>
      <c r="N12" s="29"/>
      <c r="O12" s="29"/>
      <c r="P12" s="28" t="b">
        <v>0</v>
      </c>
      <c r="Q12" s="29"/>
      <c r="R12" s="29"/>
      <c r="S12" s="29"/>
      <c r="T12" s="29"/>
      <c r="U12" s="29"/>
      <c r="V12" s="29"/>
      <c r="W12" s="29"/>
      <c r="X12" s="29"/>
      <c r="Y12" s="29"/>
      <c r="Z12" s="29"/>
      <c r="AA12" s="29"/>
      <c r="AB12" s="29"/>
      <c r="AC12" s="29"/>
      <c r="AD12" s="29"/>
      <c r="AE12" s="29"/>
      <c r="AF12" s="29"/>
      <c r="AG12" s="29"/>
    </row>
    <row r="13" spans="1:33" ht="24" customHeight="1">
      <c r="A13" s="14" t="s">
        <v>262</v>
      </c>
      <c r="B13" s="15" t="s">
        <v>263</v>
      </c>
      <c r="C13" s="16" t="s">
        <v>264</v>
      </c>
      <c r="D13" s="16" t="s">
        <v>265</v>
      </c>
      <c r="E13" s="17" t="s">
        <v>266</v>
      </c>
      <c r="F13" s="17" t="s">
        <v>211</v>
      </c>
      <c r="G13" s="17">
        <v>5</v>
      </c>
      <c r="H13" s="17">
        <v>5</v>
      </c>
      <c r="I13" s="17" t="s">
        <v>170</v>
      </c>
      <c r="J13" s="30">
        <v>0</v>
      </c>
      <c r="K13" s="17"/>
      <c r="L13" s="16" t="s">
        <v>267</v>
      </c>
      <c r="M13" s="31"/>
      <c r="N13" s="31"/>
      <c r="O13" s="31"/>
      <c r="P13" s="31"/>
      <c r="Q13" s="28" t="b">
        <v>0</v>
      </c>
      <c r="R13" s="31"/>
      <c r="S13" s="31"/>
      <c r="T13" s="31"/>
      <c r="U13" s="31"/>
      <c r="V13" s="31"/>
      <c r="W13" s="31"/>
      <c r="X13" s="31"/>
      <c r="Y13" s="31"/>
      <c r="Z13" s="31"/>
      <c r="AA13" s="31"/>
      <c r="AB13" s="31"/>
      <c r="AC13" s="31"/>
      <c r="AD13" s="31"/>
      <c r="AE13" s="31"/>
      <c r="AF13" s="31"/>
      <c r="AG13" s="31"/>
    </row>
    <row r="14" spans="1:33" ht="24" customHeight="1">
      <c r="A14" s="10" t="s">
        <v>268</v>
      </c>
      <c r="B14" s="11" t="s">
        <v>263</v>
      </c>
      <c r="C14" s="12" t="s">
        <v>269</v>
      </c>
      <c r="D14" s="12" t="s">
        <v>270</v>
      </c>
      <c r="E14" s="13" t="s">
        <v>271</v>
      </c>
      <c r="F14" s="13" t="s">
        <v>211</v>
      </c>
      <c r="G14" s="13">
        <v>5</v>
      </c>
      <c r="H14" s="13">
        <v>7</v>
      </c>
      <c r="I14" s="13" t="s">
        <v>170</v>
      </c>
      <c r="J14" s="24">
        <v>0</v>
      </c>
      <c r="K14" s="13"/>
      <c r="L14" s="12" t="s">
        <v>272</v>
      </c>
      <c r="M14" s="29"/>
      <c r="N14" s="29"/>
      <c r="O14" s="29"/>
      <c r="P14" s="29"/>
      <c r="Q14" s="28" t="b">
        <v>0</v>
      </c>
      <c r="R14" s="28" t="b">
        <v>0</v>
      </c>
      <c r="S14" s="28" t="b">
        <v>0</v>
      </c>
      <c r="T14" s="29"/>
      <c r="U14" s="29"/>
      <c r="V14" s="29"/>
      <c r="W14" s="29"/>
      <c r="X14" s="29"/>
      <c r="Y14" s="29"/>
      <c r="Z14" s="29"/>
      <c r="AA14" s="29"/>
      <c r="AB14" s="29"/>
      <c r="AC14" s="29"/>
      <c r="AD14" s="29"/>
      <c r="AE14" s="29"/>
      <c r="AF14" s="29"/>
      <c r="AG14" s="29"/>
    </row>
    <row r="15" spans="1:33" ht="24" customHeight="1">
      <c r="A15" s="14" t="s">
        <v>273</v>
      </c>
      <c r="B15" s="15" t="s">
        <v>263</v>
      </c>
      <c r="C15" s="16" t="s">
        <v>274</v>
      </c>
      <c r="D15" s="16" t="s">
        <v>275</v>
      </c>
      <c r="E15" s="17" t="s">
        <v>276</v>
      </c>
      <c r="F15" s="17" t="s">
        <v>211</v>
      </c>
      <c r="G15" s="17">
        <v>7</v>
      </c>
      <c r="H15" s="17">
        <v>9</v>
      </c>
      <c r="I15" s="17" t="s">
        <v>170</v>
      </c>
      <c r="J15" s="30">
        <v>0</v>
      </c>
      <c r="K15" s="17"/>
      <c r="L15" s="16" t="s">
        <v>277</v>
      </c>
      <c r="M15" s="31"/>
      <c r="N15" s="31"/>
      <c r="O15" s="31"/>
      <c r="P15" s="31"/>
      <c r="Q15" s="31"/>
      <c r="R15" s="31"/>
      <c r="S15" s="28" t="b">
        <v>0</v>
      </c>
      <c r="T15" s="28" t="b">
        <v>0</v>
      </c>
      <c r="U15" s="28" t="b">
        <v>0</v>
      </c>
      <c r="V15" s="31"/>
      <c r="W15" s="31"/>
      <c r="X15" s="31"/>
      <c r="Y15" s="31"/>
      <c r="Z15" s="31"/>
      <c r="AA15" s="31"/>
      <c r="AB15" s="31"/>
      <c r="AC15" s="31"/>
      <c r="AD15" s="31"/>
      <c r="AE15" s="31"/>
      <c r="AF15" s="31"/>
      <c r="AG15" s="31"/>
    </row>
    <row r="16" spans="1:33" ht="24" customHeight="1">
      <c r="A16" s="10" t="s">
        <v>278</v>
      </c>
      <c r="B16" s="11" t="s">
        <v>263</v>
      </c>
      <c r="C16" s="12" t="s">
        <v>279</v>
      </c>
      <c r="D16" s="12" t="s">
        <v>280</v>
      </c>
      <c r="E16" s="13" t="s">
        <v>276</v>
      </c>
      <c r="F16" s="13" t="s">
        <v>211</v>
      </c>
      <c r="G16" s="13">
        <v>9</v>
      </c>
      <c r="H16" s="13">
        <v>11</v>
      </c>
      <c r="I16" s="13" t="s">
        <v>170</v>
      </c>
      <c r="J16" s="24">
        <v>0</v>
      </c>
      <c r="K16" s="13"/>
      <c r="L16" s="12" t="s">
        <v>281</v>
      </c>
      <c r="M16" s="29"/>
      <c r="N16" s="29"/>
      <c r="O16" s="29"/>
      <c r="P16" s="29"/>
      <c r="Q16" s="29"/>
      <c r="R16" s="29"/>
      <c r="S16" s="29"/>
      <c r="T16" s="29"/>
      <c r="U16" s="28" t="b">
        <v>0</v>
      </c>
      <c r="V16" s="28" t="b">
        <v>0</v>
      </c>
      <c r="W16" s="28" t="b">
        <v>0</v>
      </c>
      <c r="X16" s="29"/>
      <c r="Y16" s="29"/>
      <c r="Z16" s="29"/>
      <c r="AA16" s="29"/>
      <c r="AB16" s="29"/>
      <c r="AC16" s="29"/>
      <c r="AD16" s="29"/>
      <c r="AE16" s="29"/>
      <c r="AF16" s="29"/>
      <c r="AG16" s="29"/>
    </row>
    <row r="17" spans="1:33" ht="24" customHeight="1">
      <c r="A17" s="14" t="s">
        <v>282</v>
      </c>
      <c r="B17" s="15" t="s">
        <v>263</v>
      </c>
      <c r="C17" s="16" t="s">
        <v>283</v>
      </c>
      <c r="D17" s="16" t="s">
        <v>284</v>
      </c>
      <c r="E17" s="17" t="s">
        <v>209</v>
      </c>
      <c r="F17" s="17" t="s">
        <v>28</v>
      </c>
      <c r="G17" s="17">
        <v>11</v>
      </c>
      <c r="H17" s="17">
        <v>11</v>
      </c>
      <c r="I17" s="17" t="s">
        <v>170</v>
      </c>
      <c r="J17" s="30">
        <v>0</v>
      </c>
      <c r="K17" s="17"/>
      <c r="L17" s="16" t="s">
        <v>261</v>
      </c>
      <c r="M17" s="31"/>
      <c r="N17" s="31"/>
      <c r="O17" s="31"/>
      <c r="P17" s="31"/>
      <c r="Q17" s="31"/>
      <c r="R17" s="31"/>
      <c r="S17" s="31"/>
      <c r="T17" s="31"/>
      <c r="U17" s="31"/>
      <c r="V17" s="31"/>
      <c r="W17" s="28" t="b">
        <v>0</v>
      </c>
      <c r="X17" s="31"/>
      <c r="Y17" s="31"/>
      <c r="Z17" s="31"/>
      <c r="AA17" s="31"/>
      <c r="AB17" s="31"/>
      <c r="AC17" s="31"/>
      <c r="AD17" s="31"/>
      <c r="AE17" s="31"/>
      <c r="AF17" s="31"/>
      <c r="AG17" s="31"/>
    </row>
    <row r="18" spans="1:33" ht="24" customHeight="1">
      <c r="A18" s="10" t="s">
        <v>285</v>
      </c>
      <c r="B18" s="11" t="s">
        <v>286</v>
      </c>
      <c r="C18" s="12" t="s">
        <v>287</v>
      </c>
      <c r="D18" s="12" t="s">
        <v>288</v>
      </c>
      <c r="E18" s="13" t="s">
        <v>271</v>
      </c>
      <c r="F18" s="13" t="s">
        <v>211</v>
      </c>
      <c r="G18" s="13">
        <v>12</v>
      </c>
      <c r="H18" s="13">
        <v>14</v>
      </c>
      <c r="I18" s="13" t="s">
        <v>170</v>
      </c>
      <c r="J18" s="24">
        <v>0</v>
      </c>
      <c r="K18" s="13"/>
      <c r="L18" s="12" t="s">
        <v>289</v>
      </c>
      <c r="M18" s="29"/>
      <c r="N18" s="29"/>
      <c r="O18" s="29"/>
      <c r="P18" s="29"/>
      <c r="Q18" s="29"/>
      <c r="R18" s="29"/>
      <c r="S18" s="29"/>
      <c r="T18" s="29"/>
      <c r="U18" s="29"/>
      <c r="V18" s="29"/>
      <c r="W18" s="29"/>
      <c r="X18" s="28" t="b">
        <v>0</v>
      </c>
      <c r="Y18" s="28" t="b">
        <v>0</v>
      </c>
      <c r="Z18" s="28" t="b">
        <v>0</v>
      </c>
      <c r="AA18" s="29"/>
      <c r="AB18" s="29"/>
      <c r="AC18" s="29"/>
      <c r="AD18" s="29"/>
      <c r="AE18" s="29"/>
      <c r="AF18" s="29"/>
      <c r="AG18" s="29"/>
    </row>
    <row r="19" spans="1:33" ht="24" customHeight="1">
      <c r="A19" s="14" t="s">
        <v>290</v>
      </c>
      <c r="B19" s="15" t="s">
        <v>286</v>
      </c>
      <c r="C19" s="16" t="s">
        <v>291</v>
      </c>
      <c r="D19" s="16" t="s">
        <v>292</v>
      </c>
      <c r="E19" s="17" t="s">
        <v>276</v>
      </c>
      <c r="F19" s="17" t="s">
        <v>211</v>
      </c>
      <c r="G19" s="17">
        <v>13</v>
      </c>
      <c r="H19" s="17">
        <v>15</v>
      </c>
      <c r="I19" s="17" t="s">
        <v>170</v>
      </c>
      <c r="J19" s="30">
        <v>0</v>
      </c>
      <c r="K19" s="17"/>
      <c r="L19" s="16" t="s">
        <v>293</v>
      </c>
      <c r="M19" s="31"/>
      <c r="N19" s="31"/>
      <c r="O19" s="31"/>
      <c r="P19" s="31"/>
      <c r="Q19" s="31"/>
      <c r="R19" s="31"/>
      <c r="S19" s="31"/>
      <c r="T19" s="31"/>
      <c r="U19" s="31"/>
      <c r="V19" s="31"/>
      <c r="W19" s="31"/>
      <c r="X19" s="31"/>
      <c r="Y19" s="28" t="b">
        <v>0</v>
      </c>
      <c r="Z19" s="28" t="b">
        <v>0</v>
      </c>
      <c r="AA19" s="28" t="b">
        <v>0</v>
      </c>
      <c r="AB19" s="31"/>
      <c r="AC19" s="31"/>
      <c r="AD19" s="31"/>
      <c r="AE19" s="31"/>
      <c r="AF19" s="31"/>
      <c r="AG19" s="31"/>
    </row>
    <row r="20" spans="1:33" ht="24" customHeight="1">
      <c r="A20" s="10" t="s">
        <v>294</v>
      </c>
      <c r="B20" s="11" t="s">
        <v>286</v>
      </c>
      <c r="C20" s="12" t="s">
        <v>295</v>
      </c>
      <c r="D20" s="12" t="s">
        <v>296</v>
      </c>
      <c r="E20" s="13" t="s">
        <v>297</v>
      </c>
      <c r="F20" s="13" t="s">
        <v>211</v>
      </c>
      <c r="G20" s="13">
        <v>14</v>
      </c>
      <c r="H20" s="13">
        <v>16</v>
      </c>
      <c r="I20" s="13" t="s">
        <v>170</v>
      </c>
      <c r="J20" s="24">
        <v>0</v>
      </c>
      <c r="K20" s="13"/>
      <c r="L20" s="12" t="s">
        <v>298</v>
      </c>
      <c r="M20" s="29"/>
      <c r="N20" s="29"/>
      <c r="O20" s="29"/>
      <c r="P20" s="29"/>
      <c r="Q20" s="29"/>
      <c r="R20" s="29"/>
      <c r="S20" s="29"/>
      <c r="T20" s="29"/>
      <c r="U20" s="29"/>
      <c r="V20" s="29"/>
      <c r="W20" s="29"/>
      <c r="X20" s="29"/>
      <c r="Y20" s="29"/>
      <c r="Z20" s="28" t="b">
        <v>0</v>
      </c>
      <c r="AA20" s="28" t="b">
        <v>0</v>
      </c>
      <c r="AB20" s="28" t="b">
        <v>0</v>
      </c>
      <c r="AC20" s="29"/>
      <c r="AD20" s="29"/>
      <c r="AE20" s="29"/>
      <c r="AF20" s="29"/>
      <c r="AG20" s="29"/>
    </row>
    <row r="21" spans="1:33" ht="24" customHeight="1">
      <c r="A21" s="14" t="s">
        <v>299</v>
      </c>
      <c r="B21" s="15" t="s">
        <v>286</v>
      </c>
      <c r="C21" s="16" t="s">
        <v>300</v>
      </c>
      <c r="D21" s="16" t="s">
        <v>301</v>
      </c>
      <c r="E21" s="17" t="s">
        <v>276</v>
      </c>
      <c r="F21" s="17" t="s">
        <v>211</v>
      </c>
      <c r="G21" s="17">
        <v>15</v>
      </c>
      <c r="H21" s="17">
        <v>16</v>
      </c>
      <c r="I21" s="17" t="s">
        <v>170</v>
      </c>
      <c r="J21" s="30">
        <v>0</v>
      </c>
      <c r="K21" s="17"/>
      <c r="L21" s="16" t="s">
        <v>302</v>
      </c>
      <c r="M21" s="31"/>
      <c r="N21" s="31"/>
      <c r="O21" s="31"/>
      <c r="P21" s="31"/>
      <c r="Q21" s="31"/>
      <c r="R21" s="31"/>
      <c r="S21" s="31"/>
      <c r="T21" s="31"/>
      <c r="U21" s="31"/>
      <c r="V21" s="31"/>
      <c r="W21" s="31"/>
      <c r="X21" s="31"/>
      <c r="Y21" s="31"/>
      <c r="Z21" s="31"/>
      <c r="AA21" s="28" t="b">
        <v>0</v>
      </c>
      <c r="AB21" s="28" t="b">
        <v>0</v>
      </c>
      <c r="AC21" s="31"/>
      <c r="AD21" s="31"/>
      <c r="AE21" s="31"/>
      <c r="AF21" s="31"/>
      <c r="AG21" s="31"/>
    </row>
    <row r="22" spans="1:33" ht="24" customHeight="1">
      <c r="A22" s="10" t="s">
        <v>303</v>
      </c>
      <c r="B22" s="11" t="s">
        <v>304</v>
      </c>
      <c r="C22" s="12" t="s">
        <v>305</v>
      </c>
      <c r="D22" s="12" t="s">
        <v>306</v>
      </c>
      <c r="E22" s="13" t="s">
        <v>276</v>
      </c>
      <c r="F22" s="13" t="s">
        <v>211</v>
      </c>
      <c r="G22" s="13">
        <v>17</v>
      </c>
      <c r="H22" s="13">
        <v>18</v>
      </c>
      <c r="I22" s="13" t="s">
        <v>170</v>
      </c>
      <c r="J22" s="24">
        <v>0</v>
      </c>
      <c r="K22" s="13"/>
      <c r="L22" s="12" t="s">
        <v>307</v>
      </c>
      <c r="M22" s="29"/>
      <c r="N22" s="29"/>
      <c r="O22" s="29"/>
      <c r="P22" s="29"/>
      <c r="Q22" s="29"/>
      <c r="R22" s="29"/>
      <c r="S22" s="29"/>
      <c r="T22" s="29"/>
      <c r="U22" s="29"/>
      <c r="V22" s="29"/>
      <c r="W22" s="29"/>
      <c r="X22" s="29"/>
      <c r="Y22" s="29"/>
      <c r="Z22" s="29"/>
      <c r="AA22" s="29"/>
      <c r="AB22" s="29"/>
      <c r="AC22" s="28" t="b">
        <v>0</v>
      </c>
      <c r="AD22" s="28" t="b">
        <v>0</v>
      </c>
      <c r="AE22" s="29"/>
      <c r="AF22" s="29"/>
      <c r="AG22" s="29"/>
    </row>
    <row r="23" spans="1:33" ht="24" customHeight="1">
      <c r="A23" s="14" t="s">
        <v>308</v>
      </c>
      <c r="B23" s="15" t="s">
        <v>304</v>
      </c>
      <c r="C23" s="16" t="s">
        <v>309</v>
      </c>
      <c r="D23" s="16" t="s">
        <v>310</v>
      </c>
      <c r="E23" s="17" t="s">
        <v>266</v>
      </c>
      <c r="F23" s="17" t="s">
        <v>211</v>
      </c>
      <c r="G23" s="17">
        <v>18</v>
      </c>
      <c r="H23" s="17">
        <v>19</v>
      </c>
      <c r="I23" s="17" t="s">
        <v>170</v>
      </c>
      <c r="J23" s="30">
        <v>0</v>
      </c>
      <c r="K23" s="17"/>
      <c r="L23" s="16" t="s">
        <v>311</v>
      </c>
      <c r="M23" s="31"/>
      <c r="N23" s="31"/>
      <c r="O23" s="31"/>
      <c r="P23" s="31"/>
      <c r="Q23" s="31"/>
      <c r="R23" s="31"/>
      <c r="S23" s="31"/>
      <c r="T23" s="31"/>
      <c r="U23" s="31"/>
      <c r="V23" s="31"/>
      <c r="W23" s="31"/>
      <c r="X23" s="31"/>
      <c r="Y23" s="31"/>
      <c r="Z23" s="31"/>
      <c r="AA23" s="31"/>
      <c r="AB23" s="31"/>
      <c r="AC23" s="31"/>
      <c r="AD23" s="28" t="b">
        <v>0</v>
      </c>
      <c r="AE23" s="28" t="b">
        <v>0</v>
      </c>
      <c r="AF23" s="31"/>
      <c r="AG23" s="31"/>
    </row>
    <row r="24" spans="1:33" ht="24" customHeight="1">
      <c r="A24" s="10" t="s">
        <v>312</v>
      </c>
      <c r="B24" s="11" t="s">
        <v>304</v>
      </c>
      <c r="C24" s="12" t="s">
        <v>313</v>
      </c>
      <c r="D24" s="12" t="s">
        <v>314</v>
      </c>
      <c r="E24" s="13" t="s">
        <v>209</v>
      </c>
      <c r="F24" s="13" t="s">
        <v>28</v>
      </c>
      <c r="G24" s="13">
        <v>19</v>
      </c>
      <c r="H24" s="13">
        <v>19</v>
      </c>
      <c r="I24" s="13" t="s">
        <v>170</v>
      </c>
      <c r="J24" s="24">
        <v>0</v>
      </c>
      <c r="K24" s="13"/>
      <c r="L24" s="12" t="s">
        <v>261</v>
      </c>
      <c r="M24" s="29"/>
      <c r="N24" s="29"/>
      <c r="O24" s="29"/>
      <c r="P24" s="29"/>
      <c r="Q24" s="29"/>
      <c r="R24" s="29"/>
      <c r="S24" s="29"/>
      <c r="T24" s="29"/>
      <c r="U24" s="29"/>
      <c r="V24" s="29"/>
      <c r="W24" s="29"/>
      <c r="X24" s="29"/>
      <c r="Y24" s="29"/>
      <c r="Z24" s="29"/>
      <c r="AA24" s="29"/>
      <c r="AB24" s="29"/>
      <c r="AC24" s="29"/>
      <c r="AD24" s="29"/>
      <c r="AE24" s="28" t="b">
        <v>0</v>
      </c>
      <c r="AF24" s="29"/>
      <c r="AG24" s="29"/>
    </row>
    <row r="25" spans="1:33" ht="24" customHeight="1">
      <c r="A25" s="14" t="s">
        <v>315</v>
      </c>
      <c r="B25" s="15" t="s">
        <v>316</v>
      </c>
      <c r="C25" s="16" t="s">
        <v>317</v>
      </c>
      <c r="D25" s="16" t="s">
        <v>318</v>
      </c>
      <c r="E25" s="17" t="s">
        <v>319</v>
      </c>
      <c r="F25" s="17" t="s">
        <v>211</v>
      </c>
      <c r="G25" s="17">
        <v>20</v>
      </c>
      <c r="H25" s="17">
        <v>20</v>
      </c>
      <c r="I25" s="17" t="s">
        <v>170</v>
      </c>
      <c r="J25" s="30">
        <v>0</v>
      </c>
      <c r="K25" s="17"/>
      <c r="L25" s="16" t="s">
        <v>320</v>
      </c>
      <c r="M25" s="31"/>
      <c r="N25" s="31"/>
      <c r="O25" s="31"/>
      <c r="P25" s="31"/>
      <c r="Q25" s="31"/>
      <c r="R25" s="31"/>
      <c r="S25" s="31"/>
      <c r="T25" s="31"/>
      <c r="U25" s="31"/>
      <c r="V25" s="31"/>
      <c r="W25" s="31"/>
      <c r="X25" s="31"/>
      <c r="Y25" s="31"/>
      <c r="Z25" s="31"/>
      <c r="AA25" s="31"/>
      <c r="AB25" s="31"/>
      <c r="AC25" s="31"/>
      <c r="AD25" s="31"/>
      <c r="AE25" s="31"/>
      <c r="AF25" s="28" t="b">
        <v>0</v>
      </c>
      <c r="AG25" s="31"/>
    </row>
    <row r="26" spans="1:33" ht="24" customHeight="1">
      <c r="A26" s="10" t="s">
        <v>321</v>
      </c>
      <c r="B26" s="11" t="s">
        <v>316</v>
      </c>
      <c r="C26" s="12" t="s">
        <v>322</v>
      </c>
      <c r="D26" s="12" t="s">
        <v>323</v>
      </c>
      <c r="E26" s="13" t="s">
        <v>324</v>
      </c>
      <c r="F26" s="13" t="s">
        <v>28</v>
      </c>
      <c r="G26" s="13">
        <v>20</v>
      </c>
      <c r="H26" s="13">
        <v>21</v>
      </c>
      <c r="I26" s="13" t="s">
        <v>170</v>
      </c>
      <c r="J26" s="24">
        <v>0</v>
      </c>
      <c r="K26" s="13"/>
      <c r="L26" s="12" t="s">
        <v>325</v>
      </c>
      <c r="M26" s="29"/>
      <c r="N26" s="29"/>
      <c r="O26" s="29"/>
      <c r="P26" s="29"/>
      <c r="Q26" s="29"/>
      <c r="R26" s="29"/>
      <c r="S26" s="29"/>
      <c r="T26" s="29"/>
      <c r="U26" s="29"/>
      <c r="V26" s="29"/>
      <c r="W26" s="29"/>
      <c r="X26" s="29"/>
      <c r="Y26" s="29"/>
      <c r="Z26" s="29"/>
      <c r="AA26" s="29"/>
      <c r="AB26" s="29"/>
      <c r="AC26" s="29"/>
      <c r="AD26" s="29"/>
      <c r="AE26" s="29"/>
      <c r="AF26" s="28" t="b">
        <v>0</v>
      </c>
      <c r="AG26" s="28" t="b">
        <v>0</v>
      </c>
    </row>
    <row r="27" spans="1:33" ht="24" customHeight="1">
      <c r="A27" s="14" t="s">
        <v>326</v>
      </c>
      <c r="B27" s="15" t="s">
        <v>316</v>
      </c>
      <c r="C27" s="16" t="s">
        <v>327</v>
      </c>
      <c r="D27" s="16" t="s">
        <v>328</v>
      </c>
      <c r="E27" s="17" t="s">
        <v>145</v>
      </c>
      <c r="F27" s="17" t="s">
        <v>211</v>
      </c>
      <c r="G27" s="17">
        <v>21</v>
      </c>
      <c r="H27" s="17">
        <v>21</v>
      </c>
      <c r="I27" s="17" t="s">
        <v>170</v>
      </c>
      <c r="J27" s="30">
        <v>0</v>
      </c>
      <c r="K27" s="17"/>
      <c r="L27" s="16" t="s">
        <v>329</v>
      </c>
      <c r="M27" s="31"/>
      <c r="N27" s="31"/>
      <c r="O27" s="31"/>
      <c r="P27" s="31"/>
      <c r="Q27" s="31"/>
      <c r="R27" s="31"/>
      <c r="S27" s="31"/>
      <c r="T27" s="31"/>
      <c r="U27" s="31"/>
      <c r="V27" s="31"/>
      <c r="W27" s="31"/>
      <c r="X27" s="31"/>
      <c r="Y27" s="31"/>
      <c r="Z27" s="31"/>
      <c r="AA27" s="31"/>
      <c r="AB27" s="31"/>
      <c r="AC27" s="31"/>
      <c r="AD27" s="31"/>
      <c r="AE27" s="31"/>
      <c r="AF27" s="31"/>
      <c r="AG27" s="28" t="b">
        <v>0</v>
      </c>
    </row>
    <row r="28" spans="1:33" ht="24" customHeight="1">
      <c r="A28" s="10" t="s">
        <v>330</v>
      </c>
      <c r="B28" s="11" t="s">
        <v>316</v>
      </c>
      <c r="C28" s="12" t="s">
        <v>331</v>
      </c>
      <c r="D28" s="12" t="s">
        <v>332</v>
      </c>
      <c r="E28" s="13" t="s">
        <v>209</v>
      </c>
      <c r="F28" s="13" t="s">
        <v>28</v>
      </c>
      <c r="G28" s="13">
        <v>21</v>
      </c>
      <c r="H28" s="13">
        <v>21</v>
      </c>
      <c r="I28" s="13" t="s">
        <v>170</v>
      </c>
      <c r="J28" s="24">
        <v>0</v>
      </c>
      <c r="K28" s="13"/>
      <c r="L28" s="12" t="s">
        <v>333</v>
      </c>
      <c r="M28" s="29"/>
      <c r="N28" s="29"/>
      <c r="O28" s="29"/>
      <c r="P28" s="29"/>
      <c r="Q28" s="29"/>
      <c r="R28" s="29"/>
      <c r="S28" s="29"/>
      <c r="T28" s="29"/>
      <c r="U28" s="29"/>
      <c r="V28" s="29"/>
      <c r="W28" s="29"/>
      <c r="X28" s="29"/>
      <c r="Y28" s="29"/>
      <c r="Z28" s="29"/>
      <c r="AA28" s="29"/>
      <c r="AB28" s="29"/>
      <c r="AC28" s="29"/>
      <c r="AD28" s="29"/>
      <c r="AE28" s="29"/>
      <c r="AF28" s="29"/>
      <c r="AG28" s="28" t="b">
        <v>0</v>
      </c>
    </row>
    <row r="29" spans="1:33" ht="24" customHeight="1">
      <c r="A29" s="48" t="s">
        <v>334</v>
      </c>
      <c r="B29" s="49"/>
      <c r="C29" s="49"/>
      <c r="D29" s="49"/>
      <c r="E29" s="49"/>
      <c r="F29" s="49"/>
      <c r="G29" s="49"/>
      <c r="H29" s="50"/>
      <c r="I29" s="33" t="str">
        <f>COUNTIF(I6:I28,"Completed")&amp;"/"&amp;COUNTA(I6:I28)</f>
        <v>0/23</v>
      </c>
      <c r="J29" s="34">
        <f>AVERAGE(J6:J28)</f>
        <v>2.1739130434782608E-2</v>
      </c>
      <c r="K29" s="35"/>
      <c r="L29" s="35"/>
      <c r="M29" s="33">
        <f t="shared" ref="M29:AG29" si="0">SUM(M6:M28)</f>
        <v>0</v>
      </c>
      <c r="N29" s="33">
        <f t="shared" si="0"/>
        <v>0</v>
      </c>
      <c r="O29" s="33">
        <f t="shared" si="0"/>
        <v>0</v>
      </c>
      <c r="P29" s="33">
        <f t="shared" si="0"/>
        <v>0</v>
      </c>
      <c r="Q29" s="33">
        <f t="shared" si="0"/>
        <v>0</v>
      </c>
      <c r="R29" s="33">
        <f t="shared" si="0"/>
        <v>0</v>
      </c>
      <c r="S29" s="33">
        <f t="shared" si="0"/>
        <v>0</v>
      </c>
      <c r="T29" s="33">
        <f t="shared" si="0"/>
        <v>0</v>
      </c>
      <c r="U29" s="33">
        <f t="shared" si="0"/>
        <v>0</v>
      </c>
      <c r="V29" s="33">
        <f t="shared" si="0"/>
        <v>0</v>
      </c>
      <c r="W29" s="33">
        <f t="shared" si="0"/>
        <v>0</v>
      </c>
      <c r="X29" s="33">
        <f t="shared" si="0"/>
        <v>0</v>
      </c>
      <c r="Y29" s="33">
        <f t="shared" si="0"/>
        <v>0</v>
      </c>
      <c r="Z29" s="33">
        <f t="shared" si="0"/>
        <v>0</v>
      </c>
      <c r="AA29" s="33">
        <f t="shared" si="0"/>
        <v>0</v>
      </c>
      <c r="AB29" s="33">
        <f t="shared" si="0"/>
        <v>0</v>
      </c>
      <c r="AC29" s="33">
        <f t="shared" si="0"/>
        <v>0</v>
      </c>
      <c r="AD29" s="33">
        <f t="shared" si="0"/>
        <v>0</v>
      </c>
      <c r="AE29" s="33">
        <f t="shared" si="0"/>
        <v>0</v>
      </c>
      <c r="AF29" s="33">
        <f t="shared" si="0"/>
        <v>0</v>
      </c>
      <c r="AG29" s="33">
        <f t="shared" si="0"/>
        <v>0</v>
      </c>
    </row>
    <row r="30" spans="1:33" ht="12.5"/>
    <row r="31" spans="1:33" ht="12.5"/>
    <row r="32" spans="1:33" ht="12.5"/>
    <row r="33" ht="12.5"/>
    <row r="34" ht="12.5"/>
    <row r="35" ht="12.5"/>
    <row r="36" ht="12.5"/>
    <row r="37" ht="12.5"/>
    <row r="38" ht="12.5"/>
    <row r="39" ht="12.5"/>
    <row r="40" ht="12.5"/>
    <row r="41" ht="12.5"/>
    <row r="42" ht="12.5"/>
    <row r="43" ht="12.5"/>
    <row r="44" ht="12.5"/>
    <row r="45" ht="12.5"/>
    <row r="46" ht="12.5"/>
    <row r="47" ht="12.5"/>
    <row r="48" ht="12.5"/>
    <row r="49" ht="12.5"/>
    <row r="50" ht="12.5"/>
    <row r="51" ht="12.5"/>
    <row r="52" ht="12.5"/>
    <row r="53" ht="12.5"/>
    <row r="54" ht="12.5"/>
    <row r="55" ht="12.5"/>
    <row r="56" ht="12.5"/>
    <row r="57" ht="12.5"/>
    <row r="58" ht="12.5"/>
    <row r="59" ht="12.5"/>
    <row r="60" ht="12.5"/>
    <row r="61" ht="12.5"/>
    <row r="62" ht="12.5"/>
    <row r="63" ht="12.5"/>
    <row r="64" ht="12.5"/>
    <row r="65" ht="12.5"/>
    <row r="66" ht="12.5"/>
    <row r="67" ht="12.5"/>
    <row r="68" ht="12.5"/>
    <row r="69" ht="12.5"/>
    <row r="70" ht="12.5"/>
    <row r="71" ht="12.5"/>
    <row r="72" ht="12.5"/>
    <row r="73" ht="12.5"/>
    <row r="74" ht="12.5"/>
    <row r="75" ht="12.5"/>
    <row r="76" ht="12.5"/>
    <row r="77" ht="12.5"/>
    <row r="78" ht="12.5"/>
    <row r="79" ht="12.5"/>
    <row r="80" ht="12.5"/>
    <row r="81" ht="12.5"/>
    <row r="82" ht="12.5"/>
    <row r="83" ht="12.5"/>
    <row r="84" ht="12.5"/>
    <row r="85" ht="12.5"/>
    <row r="86" ht="12.5"/>
    <row r="87" ht="12.5"/>
    <row r="88" ht="12.5"/>
    <row r="89" ht="12.5"/>
    <row r="90" ht="12.5"/>
    <row r="91" ht="12.5"/>
    <row r="92" ht="12.5"/>
    <row r="93" ht="12.5"/>
    <row r="94" ht="12.5"/>
    <row r="95" ht="12.5"/>
    <row r="96" ht="12.5"/>
    <row r="97" ht="12.5"/>
    <row r="98" ht="12.5"/>
    <row r="99" ht="12.5"/>
    <row r="100" ht="12.5"/>
    <row r="101" ht="12.5"/>
    <row r="102" ht="12.5"/>
    <row r="103" ht="12.5"/>
    <row r="104" ht="12.5"/>
    <row r="105" ht="12.5"/>
    <row r="106" ht="12.5"/>
    <row r="107" ht="12.5"/>
    <row r="108" ht="12.5"/>
    <row r="109" ht="12.5"/>
    <row r="110" ht="12.5"/>
    <row r="111" ht="12.5"/>
    <row r="112" ht="12.5"/>
    <row r="113" ht="12.5"/>
    <row r="114" ht="12.5"/>
    <row r="115" ht="12.5"/>
    <row r="116" ht="12.5"/>
    <row r="117" ht="12.5"/>
    <row r="118" ht="12.5"/>
    <row r="119" ht="12.5"/>
    <row r="120" ht="12.5"/>
    <row r="121" ht="12.5"/>
    <row r="122" ht="12.5"/>
    <row r="123" ht="12.5"/>
    <row r="124" ht="12.5"/>
    <row r="125" ht="12.5"/>
    <row r="126" ht="12.5"/>
    <row r="127" ht="12.5"/>
    <row r="128" ht="12.5"/>
    <row r="129" ht="12.5"/>
    <row r="130" ht="12.5"/>
    <row r="131" ht="12.5"/>
    <row r="132" ht="12.5"/>
    <row r="133" ht="12.5"/>
    <row r="134" ht="12.5"/>
    <row r="135" ht="12.5"/>
    <row r="136" ht="12.5"/>
    <row r="137" ht="12.5"/>
    <row r="138" ht="12.5"/>
    <row r="139" ht="12.5"/>
    <row r="140" ht="12.5"/>
    <row r="141" ht="12.5"/>
    <row r="142" ht="12.5"/>
    <row r="143" ht="12.5"/>
    <row r="144" ht="12.5"/>
    <row r="145" ht="12.5"/>
    <row r="146" ht="12.5"/>
    <row r="147" ht="12.5"/>
    <row r="148" ht="12.5"/>
    <row r="149" ht="12.5"/>
    <row r="150" ht="12.5"/>
    <row r="151" ht="12.5"/>
    <row r="152" ht="12.5"/>
    <row r="153" ht="12.5"/>
    <row r="154" ht="12.5"/>
    <row r="155" ht="12.5"/>
    <row r="156" ht="12.5"/>
    <row r="157" ht="12.5"/>
    <row r="158" ht="12.5"/>
    <row r="159" ht="12.5"/>
    <row r="160" ht="12.5"/>
    <row r="161" ht="12.5"/>
    <row r="162" ht="12.5"/>
    <row r="163" ht="12.5"/>
    <row r="164" ht="12.5"/>
    <row r="165" ht="12.5"/>
    <row r="166" ht="12.5"/>
    <row r="167" ht="12.5"/>
    <row r="168" ht="12.5"/>
    <row r="169" ht="12.5"/>
    <row r="170" ht="12.5"/>
    <row r="171" ht="12.5"/>
    <row r="172" ht="12.5"/>
    <row r="173" ht="12.5"/>
    <row r="174" ht="12.5"/>
    <row r="175" ht="12.5"/>
    <row r="176" ht="12.5"/>
    <row r="177" ht="12.5"/>
    <row r="178" ht="12.5"/>
    <row r="179" ht="12.5"/>
    <row r="180" ht="12.5"/>
    <row r="181" ht="12.5"/>
    <row r="182" ht="12.5"/>
    <row r="183" ht="12.5"/>
    <row r="184" ht="12.5"/>
    <row r="185" ht="12.5"/>
    <row r="186" ht="12.5"/>
    <row r="187" ht="12.5"/>
    <row r="188" ht="12.5"/>
    <row r="189" ht="12.5"/>
    <row r="190" ht="12.5"/>
    <row r="191" ht="12.5"/>
    <row r="192" ht="12.5"/>
    <row r="193" ht="12.5"/>
    <row r="194" ht="12.5"/>
    <row r="195" ht="12.5"/>
    <row r="196" ht="12.5"/>
    <row r="197" ht="12.5"/>
    <row r="198" ht="12.5"/>
    <row r="199" ht="12.5"/>
    <row r="200" ht="12.5"/>
    <row r="201" ht="12.5"/>
    <row r="202" ht="12.5"/>
    <row r="203" ht="12.5"/>
    <row r="204" ht="12.5"/>
    <row r="205" ht="12.5"/>
    <row r="206" ht="12.5"/>
    <row r="207" ht="12.5"/>
    <row r="208" ht="12.5"/>
    <row r="209" ht="12.5"/>
    <row r="210" ht="12.5"/>
    <row r="211" ht="12.5"/>
    <row r="212" ht="12.5"/>
    <row r="213" ht="12.5"/>
    <row r="214" ht="12.5"/>
    <row r="215" ht="12.5"/>
    <row r="216" ht="12.5"/>
    <row r="217" ht="12.5"/>
    <row r="218" ht="12.5"/>
    <row r="219" ht="12.5"/>
    <row r="220" ht="12.5"/>
    <row r="221" ht="12.5"/>
    <row r="222" ht="12.5"/>
    <row r="223" ht="12.5"/>
    <row r="224" ht="12.5"/>
    <row r="225" ht="12.5"/>
    <row r="226" ht="12.5"/>
    <row r="227" ht="12.5"/>
    <row r="228" ht="12.5"/>
    <row r="229" ht="12.5"/>
    <row r="230" ht="12.5"/>
    <row r="231" ht="12.5"/>
    <row r="232" ht="12.5"/>
    <row r="233" ht="12.5"/>
    <row r="234" ht="12.5"/>
    <row r="235" ht="12.5"/>
    <row r="236" ht="12.5"/>
    <row r="237" ht="12.5"/>
    <row r="238" ht="12.5"/>
    <row r="239" ht="12.5"/>
    <row r="240" ht="12.5"/>
    <row r="241" ht="12.5"/>
    <row r="242" ht="12.5"/>
    <row r="243" ht="12.5"/>
    <row r="244" ht="12.5"/>
    <row r="245" ht="12.5"/>
    <row r="246" ht="12.5"/>
    <row r="247" ht="12.5"/>
    <row r="248" ht="12.5"/>
    <row r="249" ht="12.5"/>
    <row r="250" ht="12.5"/>
    <row r="251" ht="12.5"/>
    <row r="252" ht="12.5"/>
    <row r="253" ht="12.5"/>
    <row r="254" ht="12.5"/>
    <row r="255" ht="12.5"/>
    <row r="256" ht="12.5"/>
    <row r="257" ht="12.5"/>
    <row r="258" ht="12.5"/>
    <row r="259" ht="12.5"/>
    <row r="260" ht="12.5"/>
    <row r="261" ht="12.5"/>
    <row r="262" ht="12.5"/>
    <row r="263" ht="12.5"/>
    <row r="264" ht="12.5"/>
    <row r="265" ht="12.5"/>
    <row r="266" ht="12.5"/>
    <row r="267" ht="12.5"/>
    <row r="268" ht="12.5"/>
    <row r="269" ht="12.5"/>
    <row r="270" ht="12.5"/>
    <row r="271" ht="12.5"/>
    <row r="272" ht="12.5"/>
    <row r="273" ht="12.5"/>
    <row r="274" ht="12.5"/>
    <row r="275" ht="12.5"/>
    <row r="276" ht="12.5"/>
    <row r="277" ht="12.5"/>
    <row r="278" ht="12.5"/>
    <row r="279" ht="12.5"/>
    <row r="280" ht="12.5"/>
    <row r="281" ht="12.5"/>
    <row r="282" ht="12.5"/>
    <row r="283" ht="12.5"/>
    <row r="284" ht="12.5"/>
    <row r="285" ht="12.5"/>
    <row r="286" ht="12.5"/>
    <row r="287" ht="12.5"/>
    <row r="288" ht="12.5"/>
    <row r="289" ht="12.5"/>
    <row r="290" ht="12.5"/>
    <row r="291" ht="12.5"/>
    <row r="292" ht="12.5"/>
    <row r="293" ht="12.5"/>
    <row r="294" ht="12.5"/>
    <row r="295" ht="12.5"/>
    <row r="296" ht="12.5"/>
    <row r="297" ht="12.5"/>
    <row r="298" ht="12.5"/>
    <row r="299" ht="12.5"/>
    <row r="300" ht="12.5"/>
    <row r="301" ht="12.5"/>
    <row r="302" ht="12.5"/>
    <row r="303" ht="12.5"/>
    <row r="304" ht="12.5"/>
    <row r="305" ht="12.5"/>
    <row r="306" ht="12.5"/>
    <row r="307" ht="12.5"/>
    <row r="308" ht="12.5"/>
    <row r="309" ht="12.5"/>
    <row r="310" ht="12.5"/>
    <row r="311" ht="12.5"/>
    <row r="312" ht="12.5"/>
    <row r="313" ht="12.5"/>
    <row r="314" ht="12.5"/>
    <row r="315" ht="12.5"/>
    <row r="316" ht="12.5"/>
    <row r="317" ht="12.5"/>
    <row r="318" ht="12.5"/>
    <row r="319" ht="12.5"/>
    <row r="320" ht="12.5"/>
    <row r="321" ht="12.5"/>
    <row r="322" ht="12.5"/>
    <row r="323" ht="12.5"/>
    <row r="324" ht="12.5"/>
    <row r="325" ht="12.5"/>
    <row r="326" ht="12.5"/>
    <row r="327" ht="12.5"/>
    <row r="328" ht="12.5"/>
    <row r="329" ht="12.5"/>
    <row r="330" ht="12.5"/>
    <row r="331" ht="12.5"/>
    <row r="332" ht="12.5"/>
    <row r="333" ht="12.5"/>
    <row r="334" ht="12.5"/>
    <row r="335" ht="12.5"/>
    <row r="336" ht="12.5"/>
    <row r="337" ht="12.5"/>
    <row r="338" ht="12.5"/>
    <row r="339" ht="12.5"/>
    <row r="340" ht="12.5"/>
    <row r="341" ht="12.5"/>
    <row r="342" ht="12.5"/>
    <row r="343" ht="12.5"/>
    <row r="344" ht="12.5"/>
    <row r="345" ht="12.5"/>
    <row r="346" ht="12.5"/>
    <row r="347" ht="12.5"/>
    <row r="348" ht="12.5"/>
    <row r="349" ht="12.5"/>
    <row r="350" ht="12.5"/>
    <row r="351" ht="12.5"/>
    <row r="352" ht="12.5"/>
    <row r="353" ht="12.5"/>
    <row r="354" ht="12.5"/>
    <row r="355" ht="12.5"/>
    <row r="356" ht="12.5"/>
    <row r="357" ht="12.5"/>
    <row r="358" ht="12.5"/>
    <row r="359" ht="12.5"/>
    <row r="360" ht="12.5"/>
    <row r="361" ht="12.5"/>
    <row r="362" ht="12.5"/>
    <row r="363" ht="12.5"/>
    <row r="364" ht="12.5"/>
    <row r="365" ht="12.5"/>
    <row r="366" ht="12.5"/>
    <row r="367" ht="12.5"/>
    <row r="368" ht="12.5"/>
    <row r="369" ht="12.5"/>
    <row r="370" ht="12.5"/>
    <row r="371" ht="12.5"/>
    <row r="372" ht="12.5"/>
    <row r="373" ht="12.5"/>
    <row r="374" ht="12.5"/>
    <row r="375" ht="12.5"/>
    <row r="376" ht="12.5"/>
    <row r="377" ht="12.5"/>
    <row r="378" ht="12.5"/>
    <row r="379" ht="12.5"/>
    <row r="380" ht="12.5"/>
    <row r="381" ht="12.5"/>
    <row r="382" ht="12.5"/>
    <row r="383" ht="12.5"/>
    <row r="384" ht="12.5"/>
    <row r="385" ht="12.5"/>
    <row r="386" ht="12.5"/>
    <row r="387" ht="12.5"/>
    <row r="388" ht="12.5"/>
    <row r="389" ht="12.5"/>
    <row r="390" ht="12.5"/>
    <row r="391" ht="12.5"/>
    <row r="392" ht="12.5"/>
    <row r="393" ht="12.5"/>
    <row r="394" ht="12.5"/>
    <row r="395" ht="12.5"/>
    <row r="396" ht="12.5"/>
    <row r="397" ht="12.5"/>
    <row r="398" ht="12.5"/>
    <row r="399" ht="12.5"/>
    <row r="400" ht="12.5"/>
    <row r="401" ht="12.5"/>
    <row r="402" ht="12.5"/>
    <row r="403" ht="12.5"/>
    <row r="404" ht="12.5"/>
    <row r="405" ht="12.5"/>
    <row r="406" ht="12.5"/>
    <row r="407" ht="12.5"/>
    <row r="408" ht="12.5"/>
    <row r="409" ht="12.5"/>
    <row r="410" ht="12.5"/>
    <row r="411" ht="12.5"/>
    <row r="412" ht="12.5"/>
    <row r="413" ht="12.5"/>
    <row r="414" ht="12.5"/>
    <row r="415" ht="12.5"/>
    <row r="416" ht="12.5"/>
    <row r="417" ht="12.5"/>
    <row r="418" ht="12.5"/>
    <row r="419" ht="12.5"/>
    <row r="420" ht="12.5"/>
    <row r="421" ht="12.5"/>
    <row r="422" ht="12.5"/>
    <row r="423" ht="12.5"/>
    <row r="424" ht="12.5"/>
    <row r="425" ht="12.5"/>
    <row r="426" ht="12.5"/>
    <row r="427" ht="12.5"/>
    <row r="428" ht="12.5"/>
    <row r="429" ht="12.5"/>
    <row r="430" ht="12.5"/>
    <row r="431" ht="12.5"/>
    <row r="432" ht="12.5"/>
    <row r="433" ht="12.5"/>
    <row r="434" ht="12.5"/>
    <row r="435" ht="12.5"/>
    <row r="436" ht="12.5"/>
    <row r="437" ht="12.5"/>
    <row r="438" ht="12.5"/>
    <row r="439" ht="12.5"/>
    <row r="440" ht="12.5"/>
    <row r="441" ht="12.5"/>
    <row r="442" ht="12.5"/>
    <row r="443" ht="12.5"/>
    <row r="444" ht="12.5"/>
    <row r="445" ht="12.5"/>
    <row r="446" ht="12.5"/>
    <row r="447" ht="12.5"/>
    <row r="448" ht="12.5"/>
    <row r="449" ht="12.5"/>
    <row r="450" ht="12.5"/>
    <row r="451" ht="12.5"/>
    <row r="452" ht="12.5"/>
    <row r="453" ht="12.5"/>
    <row r="454" ht="12.5"/>
    <row r="455" ht="12.5"/>
    <row r="456" ht="12.5"/>
    <row r="457" ht="12.5"/>
    <row r="458" ht="12.5"/>
    <row r="459" ht="12.5"/>
    <row r="460" ht="12.5"/>
    <row r="461" ht="12.5"/>
    <row r="462" ht="12.5"/>
    <row r="463" ht="12.5"/>
    <row r="464" ht="12.5"/>
    <row r="465" ht="12.5"/>
    <row r="466" ht="12.5"/>
    <row r="467" ht="12.5"/>
    <row r="468" ht="12.5"/>
    <row r="469" ht="12.5"/>
    <row r="470" ht="12.5"/>
    <row r="471" ht="12.5"/>
    <row r="472" ht="12.5"/>
    <row r="473" ht="12.5"/>
    <row r="474" ht="12.5"/>
    <row r="475" ht="12.5"/>
    <row r="476" ht="12.5"/>
    <row r="477" ht="12.5"/>
    <row r="478" ht="12.5"/>
    <row r="479" ht="12.5"/>
    <row r="480" ht="12.5"/>
    <row r="481" ht="12.5"/>
    <row r="482" ht="12.5"/>
    <row r="483" ht="12.5"/>
    <row r="484" ht="12.5"/>
    <row r="485" ht="12.5"/>
    <row r="486" ht="12.5"/>
    <row r="487" ht="12.5"/>
    <row r="488" ht="12.5"/>
    <row r="489" ht="12.5"/>
    <row r="490" ht="12.5"/>
    <row r="491" ht="12.5"/>
    <row r="492" ht="12.5"/>
    <row r="493" ht="12.5"/>
    <row r="494" ht="12.5"/>
    <row r="495" ht="12.5"/>
    <row r="496" ht="12.5"/>
    <row r="497" ht="12.5"/>
    <row r="498" ht="12.5"/>
    <row r="499" ht="12.5"/>
    <row r="500" ht="12.5"/>
    <row r="501" ht="12.5"/>
    <row r="502" ht="12.5"/>
    <row r="503" ht="12.5"/>
    <row r="504" ht="12.5"/>
    <row r="505" ht="12.5"/>
    <row r="506" ht="12.5"/>
    <row r="507" ht="12.5"/>
    <row r="508" ht="12.5"/>
    <row r="509" ht="12.5"/>
    <row r="510" ht="12.5"/>
    <row r="511" ht="12.5"/>
    <row r="512" ht="12.5"/>
    <row r="513" ht="12.5"/>
    <row r="514" ht="12.5"/>
    <row r="515" ht="12.5"/>
    <row r="516" ht="12.5"/>
    <row r="517" ht="12.5"/>
    <row r="518" ht="12.5"/>
    <row r="519" ht="12.5"/>
    <row r="520" ht="12.5"/>
    <row r="521" ht="12.5"/>
    <row r="522" ht="12.5"/>
    <row r="523" ht="12.5"/>
    <row r="524" ht="12.5"/>
    <row r="525" ht="12.5"/>
    <row r="526" ht="12.5"/>
    <row r="527" ht="12.5"/>
    <row r="528" ht="12.5"/>
    <row r="529" ht="12.5"/>
    <row r="530" ht="12.5"/>
    <row r="531" ht="12.5"/>
    <row r="532" ht="12.5"/>
    <row r="533" ht="12.5"/>
    <row r="534" ht="12.5"/>
    <row r="535" ht="12.5"/>
    <row r="536" ht="12.5"/>
    <row r="537" ht="12.5"/>
    <row r="538" ht="12.5"/>
    <row r="539" ht="12.5"/>
    <row r="540" ht="12.5"/>
    <row r="541" ht="12.5"/>
    <row r="542" ht="12.5"/>
    <row r="543" ht="12.5"/>
    <row r="544" ht="12.5"/>
    <row r="545" ht="12.5"/>
    <row r="546" ht="12.5"/>
    <row r="547" ht="12.5"/>
    <row r="548" ht="12.5"/>
    <row r="549" ht="12.5"/>
    <row r="550" ht="12.5"/>
    <row r="551" ht="12.5"/>
    <row r="552" ht="12.5"/>
    <row r="553" ht="12.5"/>
    <row r="554" ht="12.5"/>
    <row r="555" ht="12.5"/>
    <row r="556" ht="12.5"/>
    <row r="557" ht="12.5"/>
    <row r="558" ht="12.5"/>
    <row r="559" ht="12.5"/>
    <row r="560" ht="12.5"/>
    <row r="561" ht="12.5"/>
    <row r="562" ht="12.5"/>
    <row r="563" ht="12.5"/>
    <row r="564" ht="12.5"/>
    <row r="565" ht="12.5"/>
    <row r="566" ht="12.5"/>
    <row r="567" ht="12.5"/>
    <row r="568" ht="12.5"/>
    <row r="569" ht="12.5"/>
    <row r="570" ht="12.5"/>
    <row r="571" ht="12.5"/>
    <row r="572" ht="12.5"/>
    <row r="573" ht="12.5"/>
    <row r="574" ht="12.5"/>
    <row r="575" ht="12.5"/>
    <row r="576" ht="12.5"/>
    <row r="577" ht="12.5"/>
    <row r="578" ht="12.5"/>
    <row r="579" ht="12.5"/>
    <row r="580" ht="12.5"/>
    <row r="581" ht="12.5"/>
    <row r="582" ht="12.5"/>
    <row r="583" ht="12.5"/>
    <row r="584" ht="12.5"/>
    <row r="585" ht="12.5"/>
    <row r="586" ht="12.5"/>
    <row r="587" ht="12.5"/>
    <row r="588" ht="12.5"/>
    <row r="589" ht="12.5"/>
    <row r="590" ht="12.5"/>
    <row r="591" ht="12.5"/>
    <row r="592" ht="12.5"/>
    <row r="593" ht="12.5"/>
    <row r="594" ht="12.5"/>
    <row r="595" ht="12.5"/>
    <row r="596" ht="12.5"/>
    <row r="597" ht="12.5"/>
    <row r="598" ht="12.5"/>
    <row r="599" ht="12.5"/>
    <row r="600" ht="12.5"/>
    <row r="601" ht="12.5"/>
    <row r="602" ht="12.5"/>
    <row r="603" ht="12.5"/>
    <row r="604" ht="12.5"/>
    <row r="605" ht="12.5"/>
    <row r="606" ht="12.5"/>
    <row r="607" ht="12.5"/>
    <row r="608" ht="12.5"/>
    <row r="609" ht="12.5"/>
    <row r="610" ht="12.5"/>
    <row r="611" ht="12.5"/>
    <row r="612" ht="12.5"/>
    <row r="613" ht="12.5"/>
    <row r="614" ht="12.5"/>
    <row r="615" ht="12.5"/>
    <row r="616" ht="12.5"/>
    <row r="617" ht="12.5"/>
    <row r="618" ht="12.5"/>
    <row r="619" ht="12.5"/>
    <row r="620" ht="12.5"/>
    <row r="621" ht="12.5"/>
    <row r="622" ht="12.5"/>
    <row r="623" ht="12.5"/>
    <row r="624" ht="12.5"/>
    <row r="625" ht="12.5"/>
    <row r="626" ht="12.5"/>
    <row r="627" ht="12.5"/>
    <row r="628" ht="12.5"/>
    <row r="629" ht="12.5"/>
    <row r="630" ht="12.5"/>
    <row r="631" ht="12.5"/>
    <row r="632" ht="12.5"/>
    <row r="633" ht="12.5"/>
    <row r="634" ht="12.5"/>
    <row r="635" ht="12.5"/>
    <row r="636" ht="12.5"/>
    <row r="637" ht="12.5"/>
    <row r="638" ht="12.5"/>
    <row r="639" ht="12.5"/>
    <row r="640" ht="12.5"/>
    <row r="641" ht="12.5"/>
    <row r="642" ht="12.5"/>
    <row r="643" ht="12.5"/>
    <row r="644" ht="12.5"/>
    <row r="645" ht="12.5"/>
    <row r="646" ht="12.5"/>
    <row r="647" ht="12.5"/>
    <row r="648" ht="12.5"/>
    <row r="649" ht="12.5"/>
    <row r="650" ht="12.5"/>
    <row r="651" ht="12.5"/>
    <row r="652" ht="12.5"/>
    <row r="653" ht="12.5"/>
    <row r="654" ht="12.5"/>
    <row r="655" ht="12.5"/>
    <row r="656" ht="12.5"/>
    <row r="657" ht="12.5"/>
    <row r="658" ht="12.5"/>
    <row r="659" ht="12.5"/>
    <row r="660" ht="12.5"/>
    <row r="661" ht="12.5"/>
    <row r="662" ht="12.5"/>
    <row r="663" ht="12.5"/>
    <row r="664" ht="12.5"/>
    <row r="665" ht="12.5"/>
    <row r="666" ht="12.5"/>
    <row r="667" ht="12.5"/>
    <row r="668" ht="12.5"/>
    <row r="669" ht="12.5"/>
    <row r="670" ht="12.5"/>
    <row r="671" ht="12.5"/>
    <row r="672" ht="12.5"/>
    <row r="673" ht="12.5"/>
    <row r="674" ht="12.5"/>
    <row r="675" ht="12.5"/>
    <row r="676" ht="12.5"/>
    <row r="677" ht="12.5"/>
    <row r="678" ht="12.5"/>
    <row r="679" ht="12.5"/>
    <row r="680" ht="12.5"/>
    <row r="681" ht="12.5"/>
    <row r="682" ht="12.5"/>
    <row r="683" ht="12.5"/>
    <row r="684" ht="12.5"/>
    <row r="685" ht="12.5"/>
    <row r="686" ht="12.5"/>
    <row r="687" ht="12.5"/>
    <row r="688" ht="12.5"/>
    <row r="689" ht="12.5"/>
    <row r="690" ht="12.5"/>
    <row r="691" ht="12.5"/>
    <row r="692" ht="12.5"/>
    <row r="693" ht="12.5"/>
    <row r="694" ht="12.5"/>
    <row r="695" ht="12.5"/>
    <row r="696" ht="12.5"/>
    <row r="697" ht="12.5"/>
    <row r="698" ht="12.5"/>
    <row r="699" ht="12.5"/>
    <row r="700" ht="12.5"/>
    <row r="701" ht="12.5"/>
    <row r="702" ht="12.5"/>
    <row r="703" ht="12.5"/>
    <row r="704" ht="12.5"/>
    <row r="705" ht="12.5"/>
    <row r="706" ht="12.5"/>
    <row r="707" ht="12.5"/>
    <row r="708" ht="12.5"/>
    <row r="709" ht="12.5"/>
    <row r="710" ht="12.5"/>
    <row r="711" ht="12.5"/>
    <row r="712" ht="12.5"/>
    <row r="713" ht="12.5"/>
    <row r="714" ht="12.5"/>
    <row r="715" ht="12.5"/>
    <row r="716" ht="12.5"/>
    <row r="717" ht="12.5"/>
    <row r="718" ht="12.5"/>
    <row r="719" ht="12.5"/>
    <row r="720" ht="12.5"/>
    <row r="721" ht="12.5"/>
    <row r="722" ht="12.5"/>
    <row r="723" ht="12.5"/>
    <row r="724" ht="12.5"/>
    <row r="725" ht="12.5"/>
    <row r="726" ht="12.5"/>
    <row r="727" ht="12.5"/>
    <row r="728" ht="12.5"/>
    <row r="729" ht="12.5"/>
    <row r="730" ht="12.5"/>
    <row r="731" ht="12.5"/>
    <row r="732" ht="12.5"/>
    <row r="733" ht="12.5"/>
    <row r="734" ht="12.5"/>
    <row r="735" ht="12.5"/>
    <row r="736" ht="12.5"/>
    <row r="737" ht="12.5"/>
    <row r="738" ht="12.5"/>
    <row r="739" ht="12.5"/>
    <row r="740" ht="12.5"/>
    <row r="741" ht="12.5"/>
    <row r="742" ht="12.5"/>
    <row r="743" ht="12.5"/>
    <row r="744" ht="12.5"/>
    <row r="745" ht="12.5"/>
    <row r="746" ht="12.5"/>
    <row r="747" ht="12.5"/>
    <row r="748" ht="12.5"/>
    <row r="749" ht="12.5"/>
    <row r="750" ht="12.5"/>
    <row r="751" ht="12.5"/>
    <row r="752" ht="12.5"/>
    <row r="753" ht="12.5"/>
    <row r="754" ht="12.5"/>
    <row r="755" ht="12.5"/>
    <row r="756" ht="12.5"/>
    <row r="757" ht="12.5"/>
    <row r="758" ht="12.5"/>
    <row r="759" ht="12.5"/>
    <row r="760" ht="12.5"/>
    <row r="761" ht="12.5"/>
    <row r="762" ht="12.5"/>
    <row r="763" ht="12.5"/>
    <row r="764" ht="12.5"/>
    <row r="765" ht="12.5"/>
    <row r="766" ht="12.5"/>
    <row r="767" ht="12.5"/>
    <row r="768" ht="12.5"/>
    <row r="769" ht="12.5"/>
    <row r="770" ht="12.5"/>
    <row r="771" ht="12.5"/>
    <row r="772" ht="12.5"/>
    <row r="773" ht="12.5"/>
    <row r="774" ht="12.5"/>
    <row r="775" ht="12.5"/>
    <row r="776" ht="12.5"/>
    <row r="777" ht="12.5"/>
    <row r="778" ht="12.5"/>
    <row r="779" ht="12.5"/>
    <row r="780" ht="12.5"/>
    <row r="781" ht="12.5"/>
    <row r="782" ht="12.5"/>
    <row r="783" ht="12.5"/>
    <row r="784" ht="12.5"/>
    <row r="785" ht="12.5"/>
    <row r="786" ht="12.5"/>
    <row r="787" ht="12.5"/>
    <row r="788" ht="12.5"/>
    <row r="789" ht="12.5"/>
    <row r="790" ht="12.5"/>
    <row r="791" ht="12.5"/>
    <row r="792" ht="12.5"/>
    <row r="793" ht="12.5"/>
    <row r="794" ht="12.5"/>
    <row r="795" ht="12.5"/>
    <row r="796" ht="12.5"/>
    <row r="797" ht="12.5"/>
    <row r="798" ht="12.5"/>
    <row r="799" ht="12.5"/>
    <row r="800" ht="12.5"/>
    <row r="801" ht="12.5"/>
    <row r="802" ht="12.5"/>
    <row r="803" ht="12.5"/>
    <row r="804" ht="12.5"/>
    <row r="805" ht="12.5"/>
    <row r="806" ht="12.5"/>
    <row r="807" ht="12.5"/>
    <row r="808" ht="12.5"/>
    <row r="809" ht="12.5"/>
    <row r="810" ht="12.5"/>
    <row r="811" ht="12.5"/>
    <row r="812" ht="12.5"/>
    <row r="813" ht="12.5"/>
    <row r="814" ht="12.5"/>
    <row r="815" ht="12.5"/>
    <row r="816" ht="12.5"/>
    <row r="817" ht="12.5"/>
    <row r="818" ht="12.5"/>
    <row r="819" ht="12.5"/>
    <row r="820" ht="12.5"/>
    <row r="821" ht="12.5"/>
    <row r="822" ht="12.5"/>
    <row r="823" ht="12.5"/>
    <row r="824" ht="12.5"/>
    <row r="825" ht="12.5"/>
    <row r="826" ht="12.5"/>
    <row r="827" ht="12.5"/>
    <row r="828" ht="12.5"/>
    <row r="829" ht="12.5"/>
    <row r="830" ht="12.5"/>
    <row r="831" ht="12.5"/>
    <row r="832" ht="12.5"/>
    <row r="833" ht="12.5"/>
    <row r="834" ht="12.5"/>
    <row r="835" ht="12.5"/>
    <row r="836" ht="12.5"/>
    <row r="837" ht="12.5"/>
    <row r="838" ht="12.5"/>
    <row r="839" ht="12.5"/>
    <row r="840" ht="12.5"/>
    <row r="841" ht="12.5"/>
    <row r="842" ht="12.5"/>
    <row r="843" ht="12.5"/>
    <row r="844" ht="12.5"/>
    <row r="845" ht="12.5"/>
    <row r="846" ht="12.5"/>
    <row r="847" ht="12.5"/>
    <row r="848" ht="12.5"/>
    <row r="849" ht="12.5"/>
    <row r="850" ht="12.5"/>
    <row r="851" ht="12.5"/>
    <row r="852" ht="12.5"/>
    <row r="853" ht="12.5"/>
    <row r="854" ht="12.5"/>
    <row r="855" ht="12.5"/>
    <row r="856" ht="12.5"/>
    <row r="857" ht="12.5"/>
    <row r="858" ht="12.5"/>
    <row r="859" ht="12.5"/>
    <row r="860" ht="12.5"/>
    <row r="861" ht="12.5"/>
    <row r="862" ht="12.5"/>
    <row r="863" ht="12.5"/>
    <row r="864" ht="12.5"/>
    <row r="865" ht="12.5"/>
    <row r="866" ht="12.5"/>
    <row r="867" ht="12.5"/>
    <row r="868" ht="12.5"/>
    <row r="869" ht="12.5"/>
    <row r="870" ht="12.5"/>
    <row r="871" ht="12.5"/>
    <row r="872" ht="12.5"/>
    <row r="873" ht="12.5"/>
    <row r="874" ht="12.5"/>
    <row r="875" ht="12.5"/>
    <row r="876" ht="12.5"/>
    <row r="877" ht="12.5"/>
    <row r="878" ht="12.5"/>
    <row r="879" ht="12.5"/>
    <row r="880" ht="12.5"/>
    <row r="881" ht="12.5"/>
    <row r="882" ht="12.5"/>
    <row r="883" ht="12.5"/>
    <row r="884" ht="12.5"/>
    <row r="885" ht="12.5"/>
    <row r="886" ht="12.5"/>
    <row r="887" ht="12.5"/>
    <row r="888" ht="12.5"/>
    <row r="889" ht="12.5"/>
    <row r="890" ht="12.5"/>
    <row r="891" ht="12.5"/>
    <row r="892" ht="12.5"/>
    <row r="893" ht="12.5"/>
    <row r="894" ht="12.5"/>
    <row r="895" ht="12.5"/>
    <row r="896" ht="12.5"/>
    <row r="897" ht="12.5"/>
    <row r="898" ht="12.5"/>
    <row r="899" ht="12.5"/>
    <row r="900" ht="12.5"/>
    <row r="901" ht="12.5"/>
    <row r="902" ht="12.5"/>
    <row r="903" ht="12.5"/>
    <row r="904" ht="12.5"/>
    <row r="905" ht="12.5"/>
    <row r="906" ht="12.5"/>
    <row r="907" ht="12.5"/>
    <row r="908" ht="12.5"/>
    <row r="909" ht="12.5"/>
    <row r="910" ht="12.5"/>
    <row r="911" ht="12.5"/>
    <row r="912" ht="12.5"/>
    <row r="913" ht="12.5"/>
    <row r="914" ht="12.5"/>
    <row r="915" ht="12.5"/>
    <row r="916" ht="12.5"/>
    <row r="917" ht="12.5"/>
    <row r="918" ht="12.5"/>
    <row r="919" ht="12.5"/>
    <row r="920" ht="12.5"/>
    <row r="921" ht="12.5"/>
    <row r="922" ht="12.5"/>
    <row r="923" ht="12.5"/>
    <row r="924" ht="12.5"/>
    <row r="925" ht="12.5"/>
    <row r="926" ht="12.5"/>
    <row r="927" ht="12.5"/>
    <row r="928" ht="12.5"/>
    <row r="929" ht="12.5"/>
    <row r="930" ht="12.5"/>
    <row r="931" ht="12.5"/>
    <row r="932" ht="12.5"/>
    <row r="933" ht="12.5"/>
    <row r="934" ht="12.5"/>
    <row r="935" ht="12.5"/>
    <row r="936" ht="12.5"/>
    <row r="937" ht="12.5"/>
    <row r="938" ht="12.5"/>
    <row r="939" ht="12.5"/>
    <row r="940" ht="12.5"/>
    <row r="941" ht="12.5"/>
    <row r="942" ht="12.5"/>
    <row r="943" ht="12.5"/>
    <row r="944" ht="12.5"/>
    <row r="945" ht="12.5"/>
    <row r="946" ht="12.5"/>
    <row r="947" ht="12.5"/>
    <row r="948" ht="12.5"/>
    <row r="949" ht="12.5"/>
    <row r="950" ht="12.5"/>
    <row r="951" ht="12.5"/>
    <row r="952" ht="12.5"/>
    <row r="953" ht="12.5"/>
    <row r="954" ht="12.5"/>
    <row r="955" ht="12.5"/>
    <row r="956" ht="12.5"/>
    <row r="957" ht="12.5"/>
    <row r="958" ht="12.5"/>
    <row r="959" ht="12.5"/>
    <row r="960" ht="12.5"/>
    <row r="961" ht="12.5"/>
    <row r="962" ht="12.5"/>
    <row r="963" ht="12.5"/>
    <row r="964" ht="12.5"/>
    <row r="965" ht="12.5"/>
    <row r="966" ht="12.5"/>
    <row r="967" ht="12.5"/>
    <row r="968" ht="12.5"/>
    <row r="969" ht="12.5"/>
    <row r="970" ht="12.5"/>
    <row r="971" ht="12.5"/>
    <row r="972" ht="12.5"/>
    <row r="973" ht="12.5"/>
    <row r="974" ht="12.5"/>
    <row r="975" ht="12.5"/>
    <row r="976" ht="12.5"/>
    <row r="977" ht="12.5"/>
    <row r="978" ht="12.5"/>
    <row r="979" ht="12.5"/>
    <row r="980" ht="12.5"/>
    <row r="981" ht="12.5"/>
    <row r="982" ht="12.5"/>
    <row r="983" ht="12.5"/>
    <row r="984" ht="12.5"/>
    <row r="985" ht="12.5"/>
    <row r="986" ht="12.5"/>
    <row r="987" ht="12.5"/>
    <row r="988" ht="12.5"/>
    <row r="989" ht="12.5"/>
    <row r="990" ht="12.5"/>
    <row r="991" ht="12.5"/>
    <row r="992" ht="12.5"/>
    <row r="993" ht="12.5"/>
    <row r="994" ht="12.5"/>
    <row r="995" ht="12.5"/>
    <row r="996" ht="12.5"/>
    <row r="997" ht="12.5"/>
    <row r="998" ht="12.5"/>
    <row r="999" ht="12.5"/>
    <row r="1000" ht="12.5"/>
  </sheetData>
  <mergeCells count="9">
    <mergeCell ref="A4:L4"/>
    <mergeCell ref="A29:H29"/>
    <mergeCell ref="A1:AG1"/>
    <mergeCell ref="A2:AG2"/>
    <mergeCell ref="M4:P4"/>
    <mergeCell ref="Q4:W4"/>
    <mergeCell ref="X4:AB4"/>
    <mergeCell ref="AC4:AE4"/>
    <mergeCell ref="AF4:AG4"/>
  </mergeCells>
  <conditionalFormatting sqref="I6:I28">
    <cfRule type="cellIs" dxfId="2" priority="1" stopIfTrue="1" operator="equal">
      <formula>"Completed"</formula>
    </cfRule>
    <cfRule type="cellIs" dxfId="1" priority="2" stopIfTrue="1" operator="equal">
      <formula>"In Progress"</formula>
    </cfRule>
    <cfRule type="cellIs" dxfId="0" priority="3" stopIfTrue="1" operator="equal">
      <formula>"Delayed"</formula>
    </cfRule>
  </conditionalFormatting>
  <dataValidations count="1">
    <dataValidation type="list" allowBlank="1" sqref="I6:I28" xr:uid="{00000000-0002-0000-0200-000000000000}">
      <formula1>"Not Started,In Progress,Completed,Delayed,On Hold"</formula1>
    </dataValidation>
  </dataValidations>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000"/>
  <sheetViews>
    <sheetView workbookViewId="0"/>
  </sheetViews>
  <sheetFormatPr defaultColWidth="12.6328125" defaultRowHeight="15.75" customHeight="1"/>
  <cols>
    <col min="1" max="1" width="8.7265625" customWidth="1"/>
    <col min="2" max="2" width="22.7265625" customWidth="1"/>
    <col min="3" max="3" width="36.7265625" customWidth="1"/>
    <col min="4" max="4" width="33.26953125" customWidth="1"/>
    <col min="5" max="5" width="28" customWidth="1"/>
    <col min="6" max="6" width="22.7265625" customWidth="1"/>
    <col min="7" max="7" width="15.7265625" customWidth="1"/>
    <col min="8" max="8" width="22.7265625" customWidth="1"/>
    <col min="9" max="26" width="7.6328125" customWidth="1"/>
  </cols>
  <sheetData>
    <row r="1" spans="1:8" ht="30" customHeight="1">
      <c r="A1" s="51" t="s">
        <v>24</v>
      </c>
      <c r="B1" s="37"/>
      <c r="C1" s="37"/>
      <c r="D1" s="37"/>
      <c r="E1" s="37"/>
      <c r="F1" s="37"/>
      <c r="G1" s="37"/>
      <c r="H1" s="38"/>
    </row>
    <row r="2" spans="1:8" ht="19.5" customHeight="1">
      <c r="A2" s="52" t="s">
        <v>31</v>
      </c>
      <c r="B2" s="37"/>
      <c r="C2" s="37"/>
      <c r="D2" s="37"/>
      <c r="E2" s="37"/>
      <c r="F2" s="37"/>
      <c r="G2" s="37"/>
      <c r="H2" s="38"/>
    </row>
    <row r="4" spans="1:8" ht="15.5">
      <c r="A4" s="8" t="s">
        <v>33</v>
      </c>
    </row>
    <row r="5" spans="1:8" ht="24.75" customHeight="1">
      <c r="A5" s="9" t="s">
        <v>34</v>
      </c>
      <c r="B5" s="9" t="s">
        <v>36</v>
      </c>
      <c r="C5" s="9" t="s">
        <v>37</v>
      </c>
      <c r="D5" s="9" t="s">
        <v>39</v>
      </c>
      <c r="E5" s="9" t="s">
        <v>40</v>
      </c>
      <c r="F5" s="9" t="s">
        <v>41</v>
      </c>
      <c r="G5" s="9" t="s">
        <v>42</v>
      </c>
      <c r="H5" s="9" t="s">
        <v>44</v>
      </c>
    </row>
    <row r="6" spans="1:8" ht="25.5" customHeight="1">
      <c r="A6" s="10" t="s">
        <v>45</v>
      </c>
      <c r="B6" s="11" t="s">
        <v>49</v>
      </c>
      <c r="C6" s="12" t="s">
        <v>52</v>
      </c>
      <c r="D6" s="13" t="s">
        <v>53</v>
      </c>
      <c r="E6" s="13" t="s">
        <v>55</v>
      </c>
      <c r="F6" s="13" t="s">
        <v>67</v>
      </c>
      <c r="G6" s="13"/>
      <c r="H6" s="12"/>
    </row>
    <row r="7" spans="1:8" ht="25.5" customHeight="1">
      <c r="A7" s="14" t="s">
        <v>76</v>
      </c>
      <c r="B7" s="15" t="s">
        <v>83</v>
      </c>
      <c r="C7" s="16" t="s">
        <v>88</v>
      </c>
      <c r="D7" s="17" t="s">
        <v>53</v>
      </c>
      <c r="E7" s="17" t="s">
        <v>55</v>
      </c>
      <c r="F7" s="17" t="s">
        <v>67</v>
      </c>
      <c r="G7" s="17"/>
      <c r="H7" s="16"/>
    </row>
    <row r="8" spans="1:8" ht="25.5" customHeight="1">
      <c r="A8" s="10" t="s">
        <v>99</v>
      </c>
      <c r="B8" s="11" t="s">
        <v>100</v>
      </c>
      <c r="C8" s="12" t="s">
        <v>102</v>
      </c>
      <c r="D8" s="13" t="s">
        <v>105</v>
      </c>
      <c r="E8" s="13" t="s">
        <v>55</v>
      </c>
      <c r="F8" s="13" t="s">
        <v>67</v>
      </c>
      <c r="G8" s="13"/>
      <c r="H8" s="12"/>
    </row>
    <row r="9" spans="1:8" ht="25.5" customHeight="1">
      <c r="A9" s="14" t="s">
        <v>113</v>
      </c>
      <c r="B9" s="15" t="s">
        <v>114</v>
      </c>
      <c r="C9" s="16" t="s">
        <v>115</v>
      </c>
      <c r="D9" s="17" t="s">
        <v>117</v>
      </c>
      <c r="E9" s="17" t="s">
        <v>55</v>
      </c>
      <c r="F9" s="17" t="s">
        <v>67</v>
      </c>
      <c r="G9" s="17"/>
      <c r="H9" s="16"/>
    </row>
    <row r="10" spans="1:8" ht="25.5" customHeight="1">
      <c r="A10" s="10" t="s">
        <v>118</v>
      </c>
      <c r="B10" s="11" t="s">
        <v>119</v>
      </c>
      <c r="C10" s="12" t="s">
        <v>120</v>
      </c>
      <c r="D10" s="13" t="s">
        <v>121</v>
      </c>
      <c r="E10" s="13" t="s">
        <v>55</v>
      </c>
      <c r="F10" s="13" t="s">
        <v>67</v>
      </c>
      <c r="G10" s="13"/>
      <c r="H10" s="12"/>
    </row>
    <row r="11" spans="1:8" ht="25.5" customHeight="1">
      <c r="A11" s="14" t="s">
        <v>122</v>
      </c>
      <c r="B11" s="15" t="s">
        <v>123</v>
      </c>
      <c r="C11" s="16" t="s">
        <v>125</v>
      </c>
      <c r="D11" s="17" t="s">
        <v>53</v>
      </c>
      <c r="E11" s="17" t="s">
        <v>126</v>
      </c>
      <c r="F11" s="17" t="s">
        <v>67</v>
      </c>
      <c r="G11" s="17"/>
      <c r="H11" s="16"/>
    </row>
    <row r="12" spans="1:8" ht="25.5" customHeight="1">
      <c r="A12" s="10" t="s">
        <v>128</v>
      </c>
      <c r="B12" s="11" t="s">
        <v>129</v>
      </c>
      <c r="C12" s="12" t="s">
        <v>130</v>
      </c>
      <c r="D12" s="13" t="s">
        <v>131</v>
      </c>
      <c r="E12" s="13" t="s">
        <v>126</v>
      </c>
      <c r="F12" s="13" t="s">
        <v>67</v>
      </c>
      <c r="G12" s="13"/>
      <c r="H12" s="12"/>
    </row>
    <row r="13" spans="1:8" ht="25.5" customHeight="1">
      <c r="A13" s="14" t="s">
        <v>134</v>
      </c>
      <c r="B13" s="15" t="s">
        <v>135</v>
      </c>
      <c r="C13" s="16" t="s">
        <v>136</v>
      </c>
      <c r="D13" s="17" t="s">
        <v>137</v>
      </c>
      <c r="E13" s="17" t="s">
        <v>138</v>
      </c>
      <c r="F13" s="17" t="s">
        <v>67</v>
      </c>
      <c r="G13" s="17"/>
      <c r="H13" s="16"/>
    </row>
    <row r="14" spans="1:8" ht="25.5" customHeight="1">
      <c r="A14" s="10" t="s">
        <v>139</v>
      </c>
      <c r="B14" s="11" t="s">
        <v>140</v>
      </c>
      <c r="C14" s="12" t="s">
        <v>142</v>
      </c>
      <c r="D14" s="13" t="s">
        <v>144</v>
      </c>
      <c r="E14" s="13" t="s">
        <v>145</v>
      </c>
      <c r="F14" s="13" t="s">
        <v>67</v>
      </c>
      <c r="G14" s="13"/>
      <c r="H14" s="12"/>
    </row>
    <row r="15" spans="1:8" ht="25.5" customHeight="1">
      <c r="A15" s="14" t="s">
        <v>148</v>
      </c>
      <c r="B15" s="15" t="s">
        <v>150</v>
      </c>
      <c r="C15" s="16" t="s">
        <v>152</v>
      </c>
      <c r="D15" s="17" t="s">
        <v>153</v>
      </c>
      <c r="E15" s="17" t="s">
        <v>154</v>
      </c>
      <c r="F15" s="17" t="s">
        <v>157</v>
      </c>
      <c r="G15" s="17"/>
      <c r="H15" s="16"/>
    </row>
    <row r="16" spans="1:8" ht="25.5" customHeight="1">
      <c r="A16" s="10" t="s">
        <v>159</v>
      </c>
      <c r="B16" s="11" t="s">
        <v>160</v>
      </c>
      <c r="C16" s="12" t="s">
        <v>162</v>
      </c>
      <c r="D16" s="13" t="s">
        <v>163</v>
      </c>
      <c r="E16" s="13" t="s">
        <v>164</v>
      </c>
      <c r="F16" s="13" t="s">
        <v>157</v>
      </c>
      <c r="G16" s="13"/>
      <c r="H16" s="12"/>
    </row>
    <row r="17" spans="1:8" ht="25.5" customHeight="1">
      <c r="A17" s="14" t="s">
        <v>168</v>
      </c>
      <c r="B17" s="15" t="s">
        <v>169</v>
      </c>
      <c r="C17" s="16" t="s">
        <v>172</v>
      </c>
      <c r="D17" s="17" t="s">
        <v>144</v>
      </c>
      <c r="E17" s="17" t="s">
        <v>55</v>
      </c>
      <c r="F17" s="17" t="s">
        <v>67</v>
      </c>
      <c r="G17" s="17"/>
      <c r="H17" s="16"/>
    </row>
    <row r="18" spans="1:8" ht="12.5">
      <c r="G18" s="1"/>
    </row>
    <row r="19" spans="1:8" ht="15.5">
      <c r="A19" s="8" t="s">
        <v>181</v>
      </c>
      <c r="G19" s="1"/>
    </row>
    <row r="20" spans="1:8" ht="24.75" customHeight="1">
      <c r="A20" s="32" t="s">
        <v>182</v>
      </c>
      <c r="B20" s="32" t="s">
        <v>187</v>
      </c>
      <c r="C20" s="32" t="s">
        <v>189</v>
      </c>
      <c r="D20" s="32" t="s">
        <v>190</v>
      </c>
      <c r="E20" s="32" t="s">
        <v>191</v>
      </c>
      <c r="F20" s="32" t="s">
        <v>192</v>
      </c>
      <c r="G20" s="32" t="s">
        <v>194</v>
      </c>
      <c r="H20" s="32" t="s">
        <v>65</v>
      </c>
    </row>
    <row r="21" spans="1:8" ht="27.75" customHeight="1">
      <c r="A21" s="17">
        <v>1</v>
      </c>
      <c r="B21" s="15" t="s">
        <v>195</v>
      </c>
      <c r="C21" s="16" t="s">
        <v>196</v>
      </c>
      <c r="D21" s="16" t="s">
        <v>197</v>
      </c>
      <c r="E21" s="16" t="s">
        <v>198</v>
      </c>
      <c r="F21" s="16" t="s">
        <v>199</v>
      </c>
      <c r="G21" s="17" t="s">
        <v>126</v>
      </c>
      <c r="H21" s="17" t="s">
        <v>200</v>
      </c>
    </row>
    <row r="22" spans="1:8" ht="27.75" customHeight="1">
      <c r="A22" s="13">
        <v>2</v>
      </c>
      <c r="B22" s="11" t="s">
        <v>202</v>
      </c>
      <c r="C22" s="12" t="s">
        <v>204</v>
      </c>
      <c r="D22" s="12" t="s">
        <v>206</v>
      </c>
      <c r="E22" s="12" t="s">
        <v>208</v>
      </c>
      <c r="F22" s="12" t="s">
        <v>210</v>
      </c>
      <c r="G22" s="13" t="s">
        <v>212</v>
      </c>
      <c r="H22" s="13" t="s">
        <v>200</v>
      </c>
    </row>
    <row r="23" spans="1:8" ht="27.75" customHeight="1">
      <c r="A23" s="17">
        <v>3</v>
      </c>
      <c r="B23" s="15" t="s">
        <v>213</v>
      </c>
      <c r="C23" s="16" t="s">
        <v>214</v>
      </c>
      <c r="D23" s="16" t="s">
        <v>215</v>
      </c>
      <c r="E23" s="16" t="s">
        <v>216</v>
      </c>
      <c r="F23" s="16" t="s">
        <v>218</v>
      </c>
      <c r="G23" s="17" t="s">
        <v>219</v>
      </c>
      <c r="H23" s="17" t="s">
        <v>200</v>
      </c>
    </row>
    <row r="24" spans="1:8" ht="27.75" customHeight="1">
      <c r="A24" s="13">
        <v>4</v>
      </c>
      <c r="B24" s="11" t="s">
        <v>220</v>
      </c>
      <c r="C24" s="12" t="s">
        <v>221</v>
      </c>
      <c r="D24" s="12" t="s">
        <v>222</v>
      </c>
      <c r="E24" s="12" t="s">
        <v>223</v>
      </c>
      <c r="F24" s="12" t="s">
        <v>224</v>
      </c>
      <c r="G24" s="13" t="s">
        <v>225</v>
      </c>
      <c r="H24" s="13" t="s">
        <v>200</v>
      </c>
    </row>
    <row r="25" spans="1:8" ht="27.75" customHeight="1">
      <c r="A25" s="17">
        <v>5</v>
      </c>
      <c r="B25" s="15" t="s">
        <v>226</v>
      </c>
      <c r="C25" s="16" t="s">
        <v>227</v>
      </c>
      <c r="D25" s="16" t="s">
        <v>228</v>
      </c>
      <c r="E25" s="16" t="s">
        <v>229</v>
      </c>
      <c r="F25" s="16" t="s">
        <v>230</v>
      </c>
      <c r="G25" s="17" t="s">
        <v>231</v>
      </c>
      <c r="H25" s="17" t="s">
        <v>200</v>
      </c>
    </row>
    <row r="26" spans="1:8" ht="27.75" customHeight="1">
      <c r="A26" s="13">
        <v>6</v>
      </c>
      <c r="B26" s="11" t="s">
        <v>233</v>
      </c>
      <c r="C26" s="12" t="s">
        <v>235</v>
      </c>
      <c r="D26" s="12" t="s">
        <v>237</v>
      </c>
      <c r="E26" s="12" t="s">
        <v>238</v>
      </c>
      <c r="F26" s="12" t="s">
        <v>239</v>
      </c>
      <c r="G26" s="13" t="s">
        <v>240</v>
      </c>
      <c r="H26" s="13" t="s">
        <v>200</v>
      </c>
    </row>
    <row r="27" spans="1:8" ht="27.75" customHeight="1">
      <c r="A27" s="17">
        <v>7</v>
      </c>
      <c r="B27" s="15" t="s">
        <v>241</v>
      </c>
      <c r="C27" s="16" t="s">
        <v>242</v>
      </c>
      <c r="D27" s="16" t="s">
        <v>243</v>
      </c>
      <c r="E27" s="16" t="s">
        <v>245</v>
      </c>
      <c r="F27" s="16" t="s">
        <v>246</v>
      </c>
      <c r="G27" s="17" t="s">
        <v>247</v>
      </c>
      <c r="H27" s="17" t="s">
        <v>124</v>
      </c>
    </row>
    <row r="28" spans="1:8" ht="27.75" customHeight="1">
      <c r="A28" s="13">
        <v>8</v>
      </c>
      <c r="B28" s="11" t="s">
        <v>248</v>
      </c>
      <c r="C28" s="12" t="s">
        <v>249</v>
      </c>
      <c r="D28" s="12" t="s">
        <v>250</v>
      </c>
      <c r="E28" s="12" t="s">
        <v>251</v>
      </c>
      <c r="F28" s="12" t="s">
        <v>252</v>
      </c>
      <c r="G28" s="13" t="s">
        <v>212</v>
      </c>
      <c r="H28" s="13" t="s">
        <v>200</v>
      </c>
    </row>
    <row r="29" spans="1:8" ht="12.5"/>
    <row r="30" spans="1:8" ht="12.5"/>
    <row r="31" spans="1:8" ht="12.5"/>
    <row r="32" spans="1:8" ht="12.5"/>
    <row r="33" ht="12.5"/>
    <row r="34" ht="12.5"/>
    <row r="35" ht="12.5"/>
    <row r="36" ht="12.5"/>
    <row r="37" ht="12.5"/>
    <row r="38" ht="12.5"/>
    <row r="39" ht="12.5"/>
    <row r="40" ht="12.5"/>
    <row r="41" ht="12.5"/>
    <row r="42" ht="12.5"/>
    <row r="43" ht="12.5"/>
    <row r="44" ht="12.5"/>
    <row r="45" ht="12.5"/>
    <row r="46" ht="12.5"/>
    <row r="47" ht="12.5"/>
    <row r="48" ht="12.5"/>
    <row r="49" ht="12.5"/>
    <row r="50" ht="12.5"/>
    <row r="51" ht="12.5"/>
    <row r="52" ht="12.5"/>
    <row r="53" ht="12.5"/>
    <row r="54" ht="12.5"/>
    <row r="55" ht="12.5"/>
    <row r="56" ht="12.5"/>
    <row r="57" ht="12.5"/>
    <row r="58" ht="12.5"/>
    <row r="59" ht="12.5"/>
    <row r="60" ht="12.5"/>
    <row r="61" ht="12.5"/>
    <row r="62" ht="12.5"/>
    <row r="63" ht="12.5"/>
    <row r="64" ht="12.5"/>
    <row r="65" ht="12.5"/>
    <row r="66" ht="12.5"/>
    <row r="67" ht="12.5"/>
    <row r="68" ht="12.5"/>
    <row r="69" ht="12.5"/>
    <row r="70" ht="12.5"/>
    <row r="71" ht="12.5"/>
    <row r="72" ht="12.5"/>
    <row r="73" ht="12.5"/>
    <row r="74" ht="12.5"/>
    <row r="75" ht="12.5"/>
    <row r="76" ht="12.5"/>
    <row r="77" ht="12.5"/>
    <row r="78" ht="12.5"/>
    <row r="79" ht="12.5"/>
    <row r="80" ht="12.5"/>
    <row r="81" ht="12.5"/>
    <row r="82" ht="12.5"/>
    <row r="83" ht="12.5"/>
    <row r="84" ht="12.5"/>
    <row r="85" ht="12.5"/>
    <row r="86" ht="12.5"/>
    <row r="87" ht="12.5"/>
    <row r="88" ht="12.5"/>
    <row r="89" ht="12.5"/>
    <row r="90" ht="12.5"/>
    <row r="91" ht="12.5"/>
    <row r="92" ht="12.5"/>
    <row r="93" ht="12.5"/>
    <row r="94" ht="12.5"/>
    <row r="95" ht="12.5"/>
    <row r="96" ht="12.5"/>
    <row r="97" ht="12.5"/>
    <row r="98" ht="12.5"/>
    <row r="99" ht="12.5"/>
    <row r="100" ht="12.5"/>
    <row r="101" ht="12.5"/>
    <row r="102" ht="12.5"/>
    <row r="103" ht="12.5"/>
    <row r="104" ht="12.5"/>
    <row r="105" ht="12.5"/>
    <row r="106" ht="12.5"/>
    <row r="107" ht="12.5"/>
    <row r="108" ht="12.5"/>
    <row r="109" ht="12.5"/>
    <row r="110" ht="12.5"/>
    <row r="111" ht="12.5"/>
    <row r="112" ht="12.5"/>
    <row r="113" ht="12.5"/>
    <row r="114" ht="12.5"/>
    <row r="115" ht="12.5"/>
    <row r="116" ht="12.5"/>
    <row r="117" ht="12.5"/>
    <row r="118" ht="12.5"/>
    <row r="119" ht="12.5"/>
    <row r="120" ht="12.5"/>
    <row r="121" ht="12.5"/>
    <row r="122" ht="12.5"/>
    <row r="123" ht="12.5"/>
    <row r="124" ht="12.5"/>
    <row r="125" ht="12.5"/>
    <row r="126" ht="12.5"/>
    <row r="127" ht="12.5"/>
    <row r="128" ht="12.5"/>
    <row r="129" ht="12.5"/>
    <row r="130" ht="12.5"/>
    <row r="131" ht="12.5"/>
    <row r="132" ht="12.5"/>
    <row r="133" ht="12.5"/>
    <row r="134" ht="12.5"/>
    <row r="135" ht="12.5"/>
    <row r="136" ht="12.5"/>
    <row r="137" ht="12.5"/>
    <row r="138" ht="12.5"/>
    <row r="139" ht="12.5"/>
    <row r="140" ht="12.5"/>
    <row r="141" ht="12.5"/>
    <row r="142" ht="12.5"/>
    <row r="143" ht="12.5"/>
    <row r="144" ht="12.5"/>
    <row r="145" ht="12.5"/>
    <row r="146" ht="12.5"/>
    <row r="147" ht="12.5"/>
    <row r="148" ht="12.5"/>
    <row r="149" ht="12.5"/>
    <row r="150" ht="12.5"/>
    <row r="151" ht="12.5"/>
    <row r="152" ht="12.5"/>
    <row r="153" ht="12.5"/>
    <row r="154" ht="12.5"/>
    <row r="155" ht="12.5"/>
    <row r="156" ht="12.5"/>
    <row r="157" ht="12.5"/>
    <row r="158" ht="12.5"/>
    <row r="159" ht="12.5"/>
    <row r="160" ht="12.5"/>
    <row r="161" ht="12.5"/>
    <row r="162" ht="12.5"/>
    <row r="163" ht="12.5"/>
    <row r="164" ht="12.5"/>
    <row r="165" ht="12.5"/>
    <row r="166" ht="12.5"/>
    <row r="167" ht="12.5"/>
    <row r="168" ht="12.5"/>
    <row r="169" ht="12.5"/>
    <row r="170" ht="12.5"/>
    <row r="171" ht="12.5"/>
    <row r="172" ht="12.5"/>
    <row r="173" ht="12.5"/>
    <row r="174" ht="12.5"/>
    <row r="175" ht="12.5"/>
    <row r="176" ht="12.5"/>
    <row r="177" ht="12.5"/>
    <row r="178" ht="12.5"/>
    <row r="179" ht="12.5"/>
    <row r="180" ht="12.5"/>
    <row r="181" ht="12.5"/>
    <row r="182" ht="12.5"/>
    <row r="183" ht="12.5"/>
    <row r="184" ht="12.5"/>
    <row r="185" ht="12.5"/>
    <row r="186" ht="12.5"/>
    <row r="187" ht="12.5"/>
    <row r="188" ht="12.5"/>
    <row r="189" ht="12.5"/>
    <row r="190" ht="12.5"/>
    <row r="191" ht="12.5"/>
    <row r="192" ht="12.5"/>
    <row r="193" ht="12.5"/>
    <row r="194" ht="12.5"/>
    <row r="195" ht="12.5"/>
    <row r="196" ht="12.5"/>
    <row r="197" ht="12.5"/>
    <row r="198" ht="12.5"/>
    <row r="199" ht="12.5"/>
    <row r="200" ht="12.5"/>
    <row r="201" ht="12.5"/>
    <row r="202" ht="12.5"/>
    <row r="203" ht="12.5"/>
    <row r="204" ht="12.5"/>
    <row r="205" ht="12.5"/>
    <row r="206" ht="12.5"/>
    <row r="207" ht="12.5"/>
    <row r="208" ht="12.5"/>
    <row r="209" ht="12.5"/>
    <row r="210" ht="12.5"/>
    <row r="211" ht="12.5"/>
    <row r="212" ht="12.5"/>
    <row r="213" ht="12.5"/>
    <row r="214" ht="12.5"/>
    <row r="215" ht="12.5"/>
    <row r="216" ht="12.5"/>
    <row r="217" ht="12.5"/>
    <row r="218" ht="12.5"/>
    <row r="219" ht="12.5"/>
    <row r="220" ht="12.5"/>
    <row r="221" ht="12.5"/>
    <row r="222" ht="12.5"/>
    <row r="223" ht="12.5"/>
    <row r="224" ht="12.5"/>
    <row r="225" ht="12.5"/>
    <row r="226" ht="12.5"/>
    <row r="227" ht="12.5"/>
    <row r="228" ht="12.5"/>
    <row r="229" ht="12.5"/>
    <row r="230" ht="12.5"/>
    <row r="231" ht="12.5"/>
    <row r="232" ht="12.5"/>
    <row r="233" ht="12.5"/>
    <row r="234" ht="12.5"/>
    <row r="235" ht="12.5"/>
    <row r="236" ht="12.5"/>
    <row r="237" ht="12.5"/>
    <row r="238" ht="12.5"/>
    <row r="239" ht="12.5"/>
    <row r="240" ht="12.5"/>
    <row r="241" ht="12.5"/>
    <row r="242" ht="12.5"/>
    <row r="243" ht="12.5"/>
    <row r="244" ht="12.5"/>
    <row r="245" ht="12.5"/>
    <row r="246" ht="12.5"/>
    <row r="247" ht="12.5"/>
    <row r="248" ht="12.5"/>
    <row r="249" ht="12.5"/>
    <row r="250" ht="12.5"/>
    <row r="251" ht="12.5"/>
    <row r="252" ht="12.5"/>
    <row r="253" ht="12.5"/>
    <row r="254" ht="12.5"/>
    <row r="255" ht="12.5"/>
    <row r="256" ht="12.5"/>
    <row r="257" ht="12.5"/>
    <row r="258" ht="12.5"/>
    <row r="259" ht="12.5"/>
    <row r="260" ht="12.5"/>
    <row r="261" ht="12.5"/>
    <row r="262" ht="12.5"/>
    <row r="263" ht="12.5"/>
    <row r="264" ht="12.5"/>
    <row r="265" ht="12.5"/>
    <row r="266" ht="12.5"/>
    <row r="267" ht="12.5"/>
    <row r="268" ht="12.5"/>
    <row r="269" ht="12.5"/>
    <row r="270" ht="12.5"/>
    <row r="271" ht="12.5"/>
    <row r="272" ht="12.5"/>
    <row r="273" ht="12.5"/>
    <row r="274" ht="12.5"/>
    <row r="275" ht="12.5"/>
    <row r="276" ht="12.5"/>
    <row r="277" ht="12.5"/>
    <row r="278" ht="12.5"/>
    <row r="279" ht="12.5"/>
    <row r="280" ht="12.5"/>
    <row r="281" ht="12.5"/>
    <row r="282" ht="12.5"/>
    <row r="283" ht="12.5"/>
    <row r="284" ht="12.5"/>
    <row r="285" ht="12.5"/>
    <row r="286" ht="12.5"/>
    <row r="287" ht="12.5"/>
    <row r="288" ht="12.5"/>
    <row r="289" ht="12.5"/>
    <row r="290" ht="12.5"/>
    <row r="291" ht="12.5"/>
    <row r="292" ht="12.5"/>
    <row r="293" ht="12.5"/>
    <row r="294" ht="12.5"/>
    <row r="295" ht="12.5"/>
    <row r="296" ht="12.5"/>
    <row r="297" ht="12.5"/>
    <row r="298" ht="12.5"/>
    <row r="299" ht="12.5"/>
    <row r="300" ht="12.5"/>
    <row r="301" ht="12.5"/>
    <row r="302" ht="12.5"/>
    <row r="303" ht="12.5"/>
    <row r="304" ht="12.5"/>
    <row r="305" ht="12.5"/>
    <row r="306" ht="12.5"/>
    <row r="307" ht="12.5"/>
    <row r="308" ht="12.5"/>
    <row r="309" ht="12.5"/>
    <row r="310" ht="12.5"/>
    <row r="311" ht="12.5"/>
    <row r="312" ht="12.5"/>
    <row r="313" ht="12.5"/>
    <row r="314" ht="12.5"/>
    <row r="315" ht="12.5"/>
    <row r="316" ht="12.5"/>
    <row r="317" ht="12.5"/>
    <row r="318" ht="12.5"/>
    <row r="319" ht="12.5"/>
    <row r="320" ht="12.5"/>
    <row r="321" ht="12.5"/>
    <row r="322" ht="12.5"/>
    <row r="323" ht="12.5"/>
    <row r="324" ht="12.5"/>
    <row r="325" ht="12.5"/>
    <row r="326" ht="12.5"/>
    <row r="327" ht="12.5"/>
    <row r="328" ht="12.5"/>
    <row r="329" ht="12.5"/>
    <row r="330" ht="12.5"/>
    <row r="331" ht="12.5"/>
    <row r="332" ht="12.5"/>
    <row r="333" ht="12.5"/>
    <row r="334" ht="12.5"/>
    <row r="335" ht="12.5"/>
    <row r="336" ht="12.5"/>
    <row r="337" ht="12.5"/>
    <row r="338" ht="12.5"/>
    <row r="339" ht="12.5"/>
    <row r="340" ht="12.5"/>
    <row r="341" ht="12.5"/>
    <row r="342" ht="12.5"/>
    <row r="343" ht="12.5"/>
    <row r="344" ht="12.5"/>
    <row r="345" ht="12.5"/>
    <row r="346" ht="12.5"/>
    <row r="347" ht="12.5"/>
    <row r="348" ht="12.5"/>
    <row r="349" ht="12.5"/>
    <row r="350" ht="12.5"/>
    <row r="351" ht="12.5"/>
    <row r="352" ht="12.5"/>
    <row r="353" ht="12.5"/>
    <row r="354" ht="12.5"/>
    <row r="355" ht="12.5"/>
    <row r="356" ht="12.5"/>
    <row r="357" ht="12.5"/>
    <row r="358" ht="12.5"/>
    <row r="359" ht="12.5"/>
    <row r="360" ht="12.5"/>
    <row r="361" ht="12.5"/>
    <row r="362" ht="12.5"/>
    <row r="363" ht="12.5"/>
    <row r="364" ht="12.5"/>
    <row r="365" ht="12.5"/>
    <row r="366" ht="12.5"/>
    <row r="367" ht="12.5"/>
    <row r="368" ht="12.5"/>
    <row r="369" ht="12.5"/>
    <row r="370" ht="12.5"/>
    <row r="371" ht="12.5"/>
    <row r="372" ht="12.5"/>
    <row r="373" ht="12.5"/>
    <row r="374" ht="12.5"/>
    <row r="375" ht="12.5"/>
    <row r="376" ht="12.5"/>
    <row r="377" ht="12.5"/>
    <row r="378" ht="12.5"/>
    <row r="379" ht="12.5"/>
    <row r="380" ht="12.5"/>
    <row r="381" ht="12.5"/>
    <row r="382" ht="12.5"/>
    <row r="383" ht="12.5"/>
    <row r="384" ht="12.5"/>
    <row r="385" ht="12.5"/>
    <row r="386" ht="12.5"/>
    <row r="387" ht="12.5"/>
    <row r="388" ht="12.5"/>
    <row r="389" ht="12.5"/>
    <row r="390" ht="12.5"/>
    <row r="391" ht="12.5"/>
    <row r="392" ht="12.5"/>
    <row r="393" ht="12.5"/>
    <row r="394" ht="12.5"/>
    <row r="395" ht="12.5"/>
    <row r="396" ht="12.5"/>
    <row r="397" ht="12.5"/>
    <row r="398" ht="12.5"/>
    <row r="399" ht="12.5"/>
    <row r="400" ht="12.5"/>
    <row r="401" ht="12.5"/>
    <row r="402" ht="12.5"/>
    <row r="403" ht="12.5"/>
    <row r="404" ht="12.5"/>
    <row r="405" ht="12.5"/>
    <row r="406" ht="12.5"/>
    <row r="407" ht="12.5"/>
    <row r="408" ht="12.5"/>
    <row r="409" ht="12.5"/>
    <row r="410" ht="12.5"/>
    <row r="411" ht="12.5"/>
    <row r="412" ht="12.5"/>
    <row r="413" ht="12.5"/>
    <row r="414" ht="12.5"/>
    <row r="415" ht="12.5"/>
    <row r="416" ht="12.5"/>
    <row r="417" ht="12.5"/>
    <row r="418" ht="12.5"/>
    <row r="419" ht="12.5"/>
    <row r="420" ht="12.5"/>
    <row r="421" ht="12.5"/>
    <row r="422" ht="12.5"/>
    <row r="423" ht="12.5"/>
    <row r="424" ht="12.5"/>
    <row r="425" ht="12.5"/>
    <row r="426" ht="12.5"/>
    <row r="427" ht="12.5"/>
    <row r="428" ht="12.5"/>
    <row r="429" ht="12.5"/>
    <row r="430" ht="12.5"/>
    <row r="431" ht="12.5"/>
    <row r="432" ht="12.5"/>
    <row r="433" ht="12.5"/>
    <row r="434" ht="12.5"/>
    <row r="435" ht="12.5"/>
    <row r="436" ht="12.5"/>
    <row r="437" ht="12.5"/>
    <row r="438" ht="12.5"/>
    <row r="439" ht="12.5"/>
    <row r="440" ht="12.5"/>
    <row r="441" ht="12.5"/>
    <row r="442" ht="12.5"/>
    <row r="443" ht="12.5"/>
    <row r="444" ht="12.5"/>
    <row r="445" ht="12.5"/>
    <row r="446" ht="12.5"/>
    <row r="447" ht="12.5"/>
    <row r="448" ht="12.5"/>
    <row r="449" ht="12.5"/>
    <row r="450" ht="12.5"/>
    <row r="451" ht="12.5"/>
    <row r="452" ht="12.5"/>
    <row r="453" ht="12.5"/>
    <row r="454" ht="12.5"/>
    <row r="455" ht="12.5"/>
    <row r="456" ht="12.5"/>
    <row r="457" ht="12.5"/>
    <row r="458" ht="12.5"/>
    <row r="459" ht="12.5"/>
    <row r="460" ht="12.5"/>
    <row r="461" ht="12.5"/>
    <row r="462" ht="12.5"/>
    <row r="463" ht="12.5"/>
    <row r="464" ht="12.5"/>
    <row r="465" ht="12.5"/>
    <row r="466" ht="12.5"/>
    <row r="467" ht="12.5"/>
    <row r="468" ht="12.5"/>
    <row r="469" ht="12.5"/>
    <row r="470" ht="12.5"/>
    <row r="471" ht="12.5"/>
    <row r="472" ht="12.5"/>
    <row r="473" ht="12.5"/>
    <row r="474" ht="12.5"/>
    <row r="475" ht="12.5"/>
    <row r="476" ht="12.5"/>
    <row r="477" ht="12.5"/>
    <row r="478" ht="12.5"/>
    <row r="479" ht="12.5"/>
    <row r="480" ht="12.5"/>
    <row r="481" ht="12.5"/>
    <row r="482" ht="12.5"/>
    <row r="483" ht="12.5"/>
    <row r="484" ht="12.5"/>
    <row r="485" ht="12.5"/>
    <row r="486" ht="12.5"/>
    <row r="487" ht="12.5"/>
    <row r="488" ht="12.5"/>
    <row r="489" ht="12.5"/>
    <row r="490" ht="12.5"/>
    <row r="491" ht="12.5"/>
    <row r="492" ht="12.5"/>
    <row r="493" ht="12.5"/>
    <row r="494" ht="12.5"/>
    <row r="495" ht="12.5"/>
    <row r="496" ht="12.5"/>
    <row r="497" ht="12.5"/>
    <row r="498" ht="12.5"/>
    <row r="499" ht="12.5"/>
    <row r="500" ht="12.5"/>
    <row r="501" ht="12.5"/>
    <row r="502" ht="12.5"/>
    <row r="503" ht="12.5"/>
    <row r="504" ht="12.5"/>
    <row r="505" ht="12.5"/>
    <row r="506" ht="12.5"/>
    <row r="507" ht="12.5"/>
    <row r="508" ht="12.5"/>
    <row r="509" ht="12.5"/>
    <row r="510" ht="12.5"/>
    <row r="511" ht="12.5"/>
    <row r="512" ht="12.5"/>
    <row r="513" ht="12.5"/>
    <row r="514" ht="12.5"/>
    <row r="515" ht="12.5"/>
    <row r="516" ht="12.5"/>
    <row r="517" ht="12.5"/>
    <row r="518" ht="12.5"/>
    <row r="519" ht="12.5"/>
    <row r="520" ht="12.5"/>
    <row r="521" ht="12.5"/>
    <row r="522" ht="12.5"/>
    <row r="523" ht="12.5"/>
    <row r="524" ht="12.5"/>
    <row r="525" ht="12.5"/>
    <row r="526" ht="12.5"/>
    <row r="527" ht="12.5"/>
    <row r="528" ht="12.5"/>
    <row r="529" ht="12.5"/>
    <row r="530" ht="12.5"/>
    <row r="531" ht="12.5"/>
    <row r="532" ht="12.5"/>
    <row r="533" ht="12.5"/>
    <row r="534" ht="12.5"/>
    <row r="535" ht="12.5"/>
    <row r="536" ht="12.5"/>
    <row r="537" ht="12.5"/>
    <row r="538" ht="12.5"/>
    <row r="539" ht="12.5"/>
    <row r="540" ht="12.5"/>
    <row r="541" ht="12.5"/>
    <row r="542" ht="12.5"/>
    <row r="543" ht="12.5"/>
    <row r="544" ht="12.5"/>
    <row r="545" ht="12.5"/>
    <row r="546" ht="12.5"/>
    <row r="547" ht="12.5"/>
    <row r="548" ht="12.5"/>
    <row r="549" ht="12.5"/>
    <row r="550" ht="12.5"/>
    <row r="551" ht="12.5"/>
    <row r="552" ht="12.5"/>
    <row r="553" ht="12.5"/>
    <row r="554" ht="12.5"/>
    <row r="555" ht="12.5"/>
    <row r="556" ht="12.5"/>
    <row r="557" ht="12.5"/>
    <row r="558" ht="12.5"/>
    <row r="559" ht="12.5"/>
    <row r="560" ht="12.5"/>
    <row r="561" ht="12.5"/>
    <row r="562" ht="12.5"/>
    <row r="563" ht="12.5"/>
    <row r="564" ht="12.5"/>
    <row r="565" ht="12.5"/>
    <row r="566" ht="12.5"/>
    <row r="567" ht="12.5"/>
    <row r="568" ht="12.5"/>
    <row r="569" ht="12.5"/>
    <row r="570" ht="12.5"/>
    <row r="571" ht="12.5"/>
    <row r="572" ht="12.5"/>
    <row r="573" ht="12.5"/>
    <row r="574" ht="12.5"/>
    <row r="575" ht="12.5"/>
    <row r="576" ht="12.5"/>
    <row r="577" ht="12.5"/>
    <row r="578" ht="12.5"/>
    <row r="579" ht="12.5"/>
    <row r="580" ht="12.5"/>
    <row r="581" ht="12.5"/>
    <row r="582" ht="12.5"/>
    <row r="583" ht="12.5"/>
    <row r="584" ht="12.5"/>
    <row r="585" ht="12.5"/>
    <row r="586" ht="12.5"/>
    <row r="587" ht="12.5"/>
    <row r="588" ht="12.5"/>
    <row r="589" ht="12.5"/>
    <row r="590" ht="12.5"/>
    <row r="591" ht="12.5"/>
    <row r="592" ht="12.5"/>
    <row r="593" ht="12.5"/>
    <row r="594" ht="12.5"/>
    <row r="595" ht="12.5"/>
    <row r="596" ht="12.5"/>
    <row r="597" ht="12.5"/>
    <row r="598" ht="12.5"/>
    <row r="599" ht="12.5"/>
    <row r="600" ht="12.5"/>
    <row r="601" ht="12.5"/>
    <row r="602" ht="12.5"/>
    <row r="603" ht="12.5"/>
    <row r="604" ht="12.5"/>
    <row r="605" ht="12.5"/>
    <row r="606" ht="12.5"/>
    <row r="607" ht="12.5"/>
    <row r="608" ht="12.5"/>
    <row r="609" ht="12.5"/>
    <row r="610" ht="12.5"/>
    <row r="611" ht="12.5"/>
    <row r="612" ht="12.5"/>
    <row r="613" ht="12.5"/>
    <row r="614" ht="12.5"/>
    <row r="615" ht="12.5"/>
    <row r="616" ht="12.5"/>
    <row r="617" ht="12.5"/>
    <row r="618" ht="12.5"/>
    <row r="619" ht="12.5"/>
    <row r="620" ht="12.5"/>
    <row r="621" ht="12.5"/>
    <row r="622" ht="12.5"/>
    <row r="623" ht="12.5"/>
    <row r="624" ht="12.5"/>
    <row r="625" ht="12.5"/>
    <row r="626" ht="12.5"/>
    <row r="627" ht="12.5"/>
    <row r="628" ht="12.5"/>
    <row r="629" ht="12.5"/>
    <row r="630" ht="12.5"/>
    <row r="631" ht="12.5"/>
    <row r="632" ht="12.5"/>
    <row r="633" ht="12.5"/>
    <row r="634" ht="12.5"/>
    <row r="635" ht="12.5"/>
    <row r="636" ht="12.5"/>
    <row r="637" ht="12.5"/>
    <row r="638" ht="12.5"/>
    <row r="639" ht="12.5"/>
    <row r="640" ht="12.5"/>
    <row r="641" ht="12.5"/>
    <row r="642" ht="12.5"/>
    <row r="643" ht="12.5"/>
    <row r="644" ht="12.5"/>
    <row r="645" ht="12.5"/>
    <row r="646" ht="12.5"/>
    <row r="647" ht="12.5"/>
    <row r="648" ht="12.5"/>
    <row r="649" ht="12.5"/>
    <row r="650" ht="12.5"/>
    <row r="651" ht="12.5"/>
    <row r="652" ht="12.5"/>
    <row r="653" ht="12.5"/>
    <row r="654" ht="12.5"/>
    <row r="655" ht="12.5"/>
    <row r="656" ht="12.5"/>
    <row r="657" ht="12.5"/>
    <row r="658" ht="12.5"/>
    <row r="659" ht="12.5"/>
    <row r="660" ht="12.5"/>
    <row r="661" ht="12.5"/>
    <row r="662" ht="12.5"/>
    <row r="663" ht="12.5"/>
    <row r="664" ht="12.5"/>
    <row r="665" ht="12.5"/>
    <row r="666" ht="12.5"/>
    <row r="667" ht="12.5"/>
    <row r="668" ht="12.5"/>
    <row r="669" ht="12.5"/>
    <row r="670" ht="12.5"/>
    <row r="671" ht="12.5"/>
    <row r="672" ht="12.5"/>
    <row r="673" ht="12.5"/>
    <row r="674" ht="12.5"/>
    <row r="675" ht="12.5"/>
    <row r="676" ht="12.5"/>
    <row r="677" ht="12.5"/>
    <row r="678" ht="12.5"/>
    <row r="679" ht="12.5"/>
    <row r="680" ht="12.5"/>
    <row r="681" ht="12.5"/>
    <row r="682" ht="12.5"/>
    <row r="683" ht="12.5"/>
    <row r="684" ht="12.5"/>
    <row r="685" ht="12.5"/>
    <row r="686" ht="12.5"/>
    <row r="687" ht="12.5"/>
    <row r="688" ht="12.5"/>
    <row r="689" ht="12.5"/>
    <row r="690" ht="12.5"/>
    <row r="691" ht="12.5"/>
    <row r="692" ht="12.5"/>
    <row r="693" ht="12.5"/>
    <row r="694" ht="12.5"/>
    <row r="695" ht="12.5"/>
    <row r="696" ht="12.5"/>
    <row r="697" ht="12.5"/>
    <row r="698" ht="12.5"/>
    <row r="699" ht="12.5"/>
    <row r="700" ht="12.5"/>
    <row r="701" ht="12.5"/>
    <row r="702" ht="12.5"/>
    <row r="703" ht="12.5"/>
    <row r="704" ht="12.5"/>
    <row r="705" ht="12.5"/>
    <row r="706" ht="12.5"/>
    <row r="707" ht="12.5"/>
    <row r="708" ht="12.5"/>
    <row r="709" ht="12.5"/>
    <row r="710" ht="12.5"/>
    <row r="711" ht="12.5"/>
    <row r="712" ht="12.5"/>
    <row r="713" ht="12.5"/>
    <row r="714" ht="12.5"/>
    <row r="715" ht="12.5"/>
    <row r="716" ht="12.5"/>
    <row r="717" ht="12.5"/>
    <row r="718" ht="12.5"/>
    <row r="719" ht="12.5"/>
    <row r="720" ht="12.5"/>
    <row r="721" ht="12.5"/>
    <row r="722" ht="12.5"/>
    <row r="723" ht="12.5"/>
    <row r="724" ht="12.5"/>
    <row r="725" ht="12.5"/>
    <row r="726" ht="12.5"/>
    <row r="727" ht="12.5"/>
    <row r="728" ht="12.5"/>
    <row r="729" ht="12.5"/>
    <row r="730" ht="12.5"/>
    <row r="731" ht="12.5"/>
    <row r="732" ht="12.5"/>
    <row r="733" ht="12.5"/>
    <row r="734" ht="12.5"/>
    <row r="735" ht="12.5"/>
    <row r="736" ht="12.5"/>
    <row r="737" ht="12.5"/>
    <row r="738" ht="12.5"/>
    <row r="739" ht="12.5"/>
    <row r="740" ht="12.5"/>
    <row r="741" ht="12.5"/>
    <row r="742" ht="12.5"/>
    <row r="743" ht="12.5"/>
    <row r="744" ht="12.5"/>
    <row r="745" ht="12.5"/>
    <row r="746" ht="12.5"/>
    <row r="747" ht="12.5"/>
    <row r="748" ht="12.5"/>
    <row r="749" ht="12.5"/>
    <row r="750" ht="12.5"/>
    <row r="751" ht="12.5"/>
    <row r="752" ht="12.5"/>
    <row r="753" ht="12.5"/>
    <row r="754" ht="12.5"/>
    <row r="755" ht="12.5"/>
    <row r="756" ht="12.5"/>
    <row r="757" ht="12.5"/>
    <row r="758" ht="12.5"/>
    <row r="759" ht="12.5"/>
    <row r="760" ht="12.5"/>
    <row r="761" ht="12.5"/>
    <row r="762" ht="12.5"/>
    <row r="763" ht="12.5"/>
    <row r="764" ht="12.5"/>
    <row r="765" ht="12.5"/>
    <row r="766" ht="12.5"/>
    <row r="767" ht="12.5"/>
    <row r="768" ht="12.5"/>
    <row r="769" ht="12.5"/>
    <row r="770" ht="12.5"/>
    <row r="771" ht="12.5"/>
    <row r="772" ht="12.5"/>
    <row r="773" ht="12.5"/>
    <row r="774" ht="12.5"/>
    <row r="775" ht="12.5"/>
    <row r="776" ht="12.5"/>
    <row r="777" ht="12.5"/>
    <row r="778" ht="12.5"/>
    <row r="779" ht="12.5"/>
    <row r="780" ht="12.5"/>
    <row r="781" ht="12.5"/>
    <row r="782" ht="12.5"/>
    <row r="783" ht="12.5"/>
    <row r="784" ht="12.5"/>
    <row r="785" ht="12.5"/>
    <row r="786" ht="12.5"/>
    <row r="787" ht="12.5"/>
    <row r="788" ht="12.5"/>
    <row r="789" ht="12.5"/>
    <row r="790" ht="12.5"/>
    <row r="791" ht="12.5"/>
    <row r="792" ht="12.5"/>
    <row r="793" ht="12.5"/>
    <row r="794" ht="12.5"/>
    <row r="795" ht="12.5"/>
    <row r="796" ht="12.5"/>
    <row r="797" ht="12.5"/>
    <row r="798" ht="12.5"/>
    <row r="799" ht="12.5"/>
    <row r="800" ht="12.5"/>
    <row r="801" ht="12.5"/>
    <row r="802" ht="12.5"/>
    <row r="803" ht="12.5"/>
    <row r="804" ht="12.5"/>
    <row r="805" ht="12.5"/>
    <row r="806" ht="12.5"/>
    <row r="807" ht="12.5"/>
    <row r="808" ht="12.5"/>
    <row r="809" ht="12.5"/>
    <row r="810" ht="12.5"/>
    <row r="811" ht="12.5"/>
    <row r="812" ht="12.5"/>
    <row r="813" ht="12.5"/>
    <row r="814" ht="12.5"/>
    <row r="815" ht="12.5"/>
    <row r="816" ht="12.5"/>
    <row r="817" ht="12.5"/>
    <row r="818" ht="12.5"/>
    <row r="819" ht="12.5"/>
    <row r="820" ht="12.5"/>
    <row r="821" ht="12.5"/>
    <row r="822" ht="12.5"/>
    <row r="823" ht="12.5"/>
    <row r="824" ht="12.5"/>
    <row r="825" ht="12.5"/>
    <row r="826" ht="12.5"/>
    <row r="827" ht="12.5"/>
    <row r="828" ht="12.5"/>
    <row r="829" ht="12.5"/>
    <row r="830" ht="12.5"/>
    <row r="831" ht="12.5"/>
    <row r="832" ht="12.5"/>
    <row r="833" ht="12.5"/>
    <row r="834" ht="12.5"/>
    <row r="835" ht="12.5"/>
    <row r="836" ht="12.5"/>
    <row r="837" ht="12.5"/>
    <row r="838" ht="12.5"/>
    <row r="839" ht="12.5"/>
    <row r="840" ht="12.5"/>
    <row r="841" ht="12.5"/>
    <row r="842" ht="12.5"/>
    <row r="843" ht="12.5"/>
    <row r="844" ht="12.5"/>
    <row r="845" ht="12.5"/>
    <row r="846" ht="12.5"/>
    <row r="847" ht="12.5"/>
    <row r="848" ht="12.5"/>
    <row r="849" ht="12.5"/>
    <row r="850" ht="12.5"/>
    <row r="851" ht="12.5"/>
    <row r="852" ht="12.5"/>
    <row r="853" ht="12.5"/>
    <row r="854" ht="12.5"/>
    <row r="855" ht="12.5"/>
    <row r="856" ht="12.5"/>
    <row r="857" ht="12.5"/>
    <row r="858" ht="12.5"/>
    <row r="859" ht="12.5"/>
    <row r="860" ht="12.5"/>
    <row r="861" ht="12.5"/>
    <row r="862" ht="12.5"/>
    <row r="863" ht="12.5"/>
    <row r="864" ht="12.5"/>
    <row r="865" ht="12.5"/>
    <row r="866" ht="12.5"/>
    <row r="867" ht="12.5"/>
    <row r="868" ht="12.5"/>
    <row r="869" ht="12.5"/>
    <row r="870" ht="12.5"/>
    <row r="871" ht="12.5"/>
    <row r="872" ht="12.5"/>
    <row r="873" ht="12.5"/>
    <row r="874" ht="12.5"/>
    <row r="875" ht="12.5"/>
    <row r="876" ht="12.5"/>
    <row r="877" ht="12.5"/>
    <row r="878" ht="12.5"/>
    <row r="879" ht="12.5"/>
    <row r="880" ht="12.5"/>
    <row r="881" ht="12.5"/>
    <row r="882" ht="12.5"/>
    <row r="883" ht="12.5"/>
    <row r="884" ht="12.5"/>
    <row r="885" ht="12.5"/>
    <row r="886" ht="12.5"/>
    <row r="887" ht="12.5"/>
    <row r="888" ht="12.5"/>
    <row r="889" ht="12.5"/>
    <row r="890" ht="12.5"/>
    <row r="891" ht="12.5"/>
    <row r="892" ht="12.5"/>
    <row r="893" ht="12.5"/>
    <row r="894" ht="12.5"/>
    <row r="895" ht="12.5"/>
    <row r="896" ht="12.5"/>
    <row r="897" ht="12.5"/>
    <row r="898" ht="12.5"/>
    <row r="899" ht="12.5"/>
    <row r="900" ht="12.5"/>
    <row r="901" ht="12.5"/>
    <row r="902" ht="12.5"/>
    <row r="903" ht="12.5"/>
    <row r="904" ht="12.5"/>
    <row r="905" ht="12.5"/>
    <row r="906" ht="12.5"/>
    <row r="907" ht="12.5"/>
    <row r="908" ht="12.5"/>
    <row r="909" ht="12.5"/>
    <row r="910" ht="12.5"/>
    <row r="911" ht="12.5"/>
    <row r="912" ht="12.5"/>
    <row r="913" ht="12.5"/>
    <row r="914" ht="12.5"/>
    <row r="915" ht="12.5"/>
    <row r="916" ht="12.5"/>
    <row r="917" ht="12.5"/>
    <row r="918" ht="12.5"/>
    <row r="919" ht="12.5"/>
    <row r="920" ht="12.5"/>
    <row r="921" ht="12.5"/>
    <row r="922" ht="12.5"/>
    <row r="923" ht="12.5"/>
    <row r="924" ht="12.5"/>
    <row r="925" ht="12.5"/>
    <row r="926" ht="12.5"/>
    <row r="927" ht="12.5"/>
    <row r="928" ht="12.5"/>
    <row r="929" ht="12.5"/>
    <row r="930" ht="12.5"/>
    <row r="931" ht="12.5"/>
    <row r="932" ht="12.5"/>
    <row r="933" ht="12.5"/>
    <row r="934" ht="12.5"/>
    <row r="935" ht="12.5"/>
    <row r="936" ht="12.5"/>
    <row r="937" ht="12.5"/>
    <row r="938" ht="12.5"/>
    <row r="939" ht="12.5"/>
    <row r="940" ht="12.5"/>
    <row r="941" ht="12.5"/>
    <row r="942" ht="12.5"/>
    <row r="943" ht="12.5"/>
    <row r="944" ht="12.5"/>
    <row r="945" ht="12.5"/>
    <row r="946" ht="12.5"/>
    <row r="947" ht="12.5"/>
    <row r="948" ht="12.5"/>
    <row r="949" ht="12.5"/>
    <row r="950" ht="12.5"/>
    <row r="951" ht="12.5"/>
    <row r="952" ht="12.5"/>
    <row r="953" ht="12.5"/>
    <row r="954" ht="12.5"/>
    <row r="955" ht="12.5"/>
    <row r="956" ht="12.5"/>
    <row r="957" ht="12.5"/>
    <row r="958" ht="12.5"/>
    <row r="959" ht="12.5"/>
    <row r="960" ht="12.5"/>
    <row r="961" ht="12.5"/>
    <row r="962" ht="12.5"/>
    <row r="963" ht="12.5"/>
    <row r="964" ht="12.5"/>
    <row r="965" ht="12.5"/>
    <row r="966" ht="12.5"/>
    <row r="967" ht="12.5"/>
    <row r="968" ht="12.5"/>
    <row r="969" ht="12.5"/>
    <row r="970" ht="12.5"/>
    <row r="971" ht="12.5"/>
    <row r="972" ht="12.5"/>
    <row r="973" ht="12.5"/>
    <row r="974" ht="12.5"/>
    <row r="975" ht="12.5"/>
    <row r="976" ht="12.5"/>
    <row r="977" ht="12.5"/>
    <row r="978" ht="12.5"/>
    <row r="979" ht="12.5"/>
    <row r="980" ht="12.5"/>
    <row r="981" ht="12.5"/>
    <row r="982" ht="12.5"/>
    <row r="983" ht="12.5"/>
    <row r="984" ht="12.5"/>
    <row r="985" ht="12.5"/>
    <row r="986" ht="12.5"/>
    <row r="987" ht="12.5"/>
    <row r="988" ht="12.5"/>
    <row r="989" ht="12.5"/>
    <row r="990" ht="12.5"/>
    <row r="991" ht="12.5"/>
    <row r="992" ht="12.5"/>
    <row r="993" ht="12.5"/>
    <row r="994" ht="12.5"/>
    <row r="995" ht="12.5"/>
    <row r="996" ht="12.5"/>
    <row r="997" ht="12.5"/>
    <row r="998" ht="12.5"/>
    <row r="999" ht="12.5"/>
    <row r="1000" ht="12.5"/>
  </sheetData>
  <mergeCells count="2">
    <mergeCell ref="A1:H1"/>
    <mergeCell ref="A2:H2"/>
  </mergeCells>
  <dataValidations count="1">
    <dataValidation type="list" allowBlank="1" sqref="F6:F14 F15:G17 G18:G19" xr:uid="{00000000-0002-0000-0300-000000000000}">
      <formula1>"Not Started,In Progress,Submitted,Approved"</formula1>
    </dataValidation>
  </dataValidation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Executive Summary</vt:lpstr>
      <vt:lpstr>Breaf &amp; Team</vt:lpstr>
      <vt:lpstr>Project Timeline</vt:lpstr>
      <vt:lpstr>Deliverable &amp; Scope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Rafie</cp:lastModifiedBy>
  <dcterms:modified xsi:type="dcterms:W3CDTF">2026-10-28T06:44:06Z</dcterms:modified>
</cp:coreProperties>
</file>